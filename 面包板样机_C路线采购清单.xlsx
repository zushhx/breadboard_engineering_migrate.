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总览" sheetId="1" state="visible" r:id="rId1"/>
    <sheet name="采购清单" sheetId="2" state="visible" r:id="rId2"/>
    <sheet name="渠道与选型说明" sheetId="3" state="visible" r:id="rId3"/>
    <sheet name="无线充接线要点" sheetId="4" state="visible" r:id="rId4"/>
    <sheet name="参数核验清单" sheetId="5" state="visible" r:id="rId5"/>
    <sheet name="分阶段到位计划" sheetId="6" state="visible" r:id="rId6"/>
    <sheet name="数据来源与说明" sheetId="7" state="visible" r:id="rId7"/>
  </sheets>
  <definedNames>
    <definedName name="_xlnm._FilterDatabase" localSheetId="1" hidden="1">'采购清单'!$A$3:$M$22</definedName>
    <definedName name="_xlnm._FilterDatabase" localSheetId="4" hidden="1">'参数核验清单'!$A$3:$G$18</definedName>
    <definedName name="_xlnm._FilterDatabase" localSheetId="5" hidden="1">'分阶段到位计划'!$A$3:$G$13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0.0%"/>
    <numFmt numFmtId="166" formatCode="YYYY-MM-DD"/>
  </numFmts>
  <fonts count="8">
    <font>
      <name val="Calibri"/>
      <family val="2"/>
      <color theme="1"/>
      <sz val="11"/>
      <scheme val="minor"/>
    </font>
    <font>
      <name val="Microsoft YaHei"/>
      <b val="1"/>
      <color rgb="FF2F5597"/>
      <sz val="14"/>
    </font>
    <font>
      <name val="Microsoft YaHei"/>
      <color rgb="FF595959"/>
      <sz val="9"/>
    </font>
    <font>
      <name val="Microsoft YaHei"/>
      <b val="1"/>
      <color rgb="FFFFFFFF"/>
      <sz val="10"/>
    </font>
    <font>
      <name val="Microsoft YaHei"/>
      <sz val="10"/>
    </font>
    <font>
      <name val="Microsoft YaHei"/>
      <b val="1"/>
      <color rgb="FF2F5597"/>
      <sz val="11"/>
    </font>
    <font>
      <name val="Microsoft YaHei"/>
      <b val="1"/>
      <sz val="10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7F7F7"/>
        <bgColor rgb="FFF7F7F7"/>
      </patternFill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left" vertical="top" wrapText="1"/>
    </xf>
    <xf numFmtId="164" fontId="4" fillId="3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6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Microsoft YaHei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Microsoft YaHei"/>
        <color rgb="FF9C6500"/>
        <sz val="10"/>
      </font>
      <fill>
        <patternFill patternType="solid">
          <fgColor rgb="FFFFEB9C"/>
          <bgColor rgb="FFFFEB9C"/>
        </patternFill>
      </fill>
    </dxf>
    <dxf>
      <font>
        <name val="Microsoft YaHei"/>
        <color rgb="FF595959"/>
        <sz val="10"/>
      </font>
      <fill>
        <patternFill patternType="solid">
          <fgColor rgb="FFF2F2F2"/>
          <bgColor rgb="FFF2F2F2"/>
        </patternFill>
      </fill>
    </dxf>
    <dxf>
      <font>
        <name val="Microsoft YaHei"/>
        <b val="1"/>
        <color rgb="FF006100"/>
        <sz val="10"/>
      </font>
    </dxf>
    <dxf>
      <font>
        <name val="Microsoft YaHei"/>
        <b val="1"/>
        <color rgb="FF9C6500"/>
        <sz val="10"/>
      </font>
    </dxf>
    <dxf>
      <font>
        <name val="Microsoft YaHei"/>
        <color rgb="FF595959"/>
        <sz val="10"/>
      </font>
    </dxf>
    <dxf>
      <font>
        <name val="Microsoft YaHei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2" customWidth="1" min="4" max="4"/>
  </cols>
  <sheetData>
    <row r="1" ht="26" customHeight="1">
      <c r="A1" s="1" t="inlineStr">
        <is>
          <t>采购总览 · 嘉立创优先（v4）</t>
        </is>
      </c>
    </row>
    <row r="2">
      <c r="A2" s="2" t="inlineStr">
        <is>
          <t>金额为 2026-09-18 生成时点数值；调整数量或单价后请同步更新对应小计与汇总。</t>
        </is>
      </c>
    </row>
    <row r="4">
      <c r="A4" s="3" t="inlineStr">
        <is>
          <t>一、按渠道统计</t>
        </is>
      </c>
    </row>
    <row r="5">
      <c r="A5" s="4" t="inlineStr">
        <is>
          <t>口径</t>
        </is>
      </c>
      <c r="B5" s="4" t="inlineStr">
        <is>
          <t>项数</t>
        </is>
      </c>
      <c r="C5" s="4" t="inlineStr">
        <is>
          <t>参考金额（元）</t>
        </is>
      </c>
      <c r="D5" s="4" t="inlineStr">
        <is>
          <t>占比</t>
        </is>
      </c>
    </row>
    <row r="6">
      <c r="A6" s="5" t="inlineStr">
        <is>
          <t>立创商城</t>
        </is>
      </c>
      <c r="B6" s="6" t="n">
        <v>9</v>
      </c>
      <c r="C6" s="7" t="n">
        <v>220.76</v>
      </c>
      <c r="D6" s="8" t="n">
        <v>0.366413</v>
      </c>
    </row>
    <row r="7">
      <c r="A7" s="5" t="inlineStr">
        <is>
          <t>其他平台</t>
        </is>
      </c>
      <c r="B7" s="6" t="n">
        <v>7</v>
      </c>
      <c r="C7" s="7" t="n">
        <v>381.73</v>
      </c>
      <c r="D7" s="8" t="n">
        <v>0.633587</v>
      </c>
    </row>
    <row r="8">
      <c r="A8" s="5" t="inlineStr">
        <is>
          <t>本期不采购</t>
        </is>
      </c>
      <c r="B8" s="6" t="n">
        <v>3</v>
      </c>
      <c r="C8" s="7" t="n">
        <v>0</v>
      </c>
      <c r="D8" s="8" t="n">
        <v>0</v>
      </c>
    </row>
    <row r="9">
      <c r="A9" s="9" t="inlineStr">
        <is>
          <t>合计</t>
        </is>
      </c>
      <c r="B9" s="10" t="n">
        <v>19</v>
      </c>
      <c r="C9" s="11" t="n">
        <v>602.49</v>
      </c>
      <c r="D9" s="12" t="n">
        <v>1</v>
      </c>
    </row>
    <row r="12">
      <c r="A12" s="3" t="inlineStr">
        <is>
          <t>二、按优先级统计</t>
        </is>
      </c>
    </row>
    <row r="13">
      <c r="A13" s="4" t="inlineStr">
        <is>
          <t>口径</t>
        </is>
      </c>
      <c r="B13" s="4" t="inlineStr">
        <is>
          <t>项数</t>
        </is>
      </c>
      <c r="C13" s="4" t="inlineStr">
        <is>
          <t>参考金额（元）</t>
        </is>
      </c>
      <c r="D13" s="4" t="inlineStr">
        <is>
          <t>占比</t>
        </is>
      </c>
    </row>
    <row r="14">
      <c r="A14" s="5" t="inlineStr">
        <is>
          <t>必买</t>
        </is>
      </c>
      <c r="B14" s="6" t="n">
        <v>14</v>
      </c>
      <c r="C14" s="7" t="n">
        <v>437.49</v>
      </c>
      <c r="D14" s="8" t="n">
        <v>0.726137</v>
      </c>
    </row>
    <row r="15">
      <c r="A15" s="5" t="inlineStr">
        <is>
          <t>按需</t>
        </is>
      </c>
      <c r="B15" s="6" t="n">
        <v>2</v>
      </c>
      <c r="C15" s="7" t="n">
        <v>165</v>
      </c>
      <c r="D15" s="8" t="n">
        <v>0.273863</v>
      </c>
    </row>
    <row r="16">
      <c r="A16" s="5" t="inlineStr">
        <is>
          <t>—</t>
        </is>
      </c>
      <c r="B16" s="6" t="n">
        <v>3</v>
      </c>
      <c r="C16" s="7" t="n">
        <v>0</v>
      </c>
      <c r="D16" s="8" t="n">
        <v>0</v>
      </c>
    </row>
    <row r="17">
      <c r="A17" s="9" t="inlineStr">
        <is>
          <t>合计</t>
        </is>
      </c>
      <c r="B17" s="10" t="n">
        <v>19</v>
      </c>
      <c r="C17" s="11" t="n">
        <v>602.49</v>
      </c>
      <c r="D17" s="12" t="n">
        <v>1</v>
      </c>
    </row>
    <row r="20">
      <c r="A20" s="13" t="inlineStr">
        <is>
          <t>结论：必买合计约 ¥437（立创 ¥56，其他平台 ¥382）。两项大头：传感器评估板 ¥271、无线充收发套件 ¥35。工具耗材 ¥165 可向实验室借用。通用件（8 项）按立创起订量下单实际 ¥29.65 —— 上一版低估为 ¥6.2。</t>
        </is>
      </c>
    </row>
  </sheetData>
  <mergeCells count="5">
    <mergeCell ref="A1:D1"/>
    <mergeCell ref="A12:D12"/>
    <mergeCell ref="A4:D4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34" customWidth="1" min="5" max="5"/>
    <col width="21" customWidth="1" min="6" max="6"/>
    <col width="5" customWidth="1" min="7" max="7"/>
    <col width="5" customWidth="1" min="8" max="8"/>
    <col width="9" customWidth="1" min="9" max="9"/>
    <col width="9" customWidth="1" min="10" max="10"/>
    <col width="12" customWidth="1" min="11" max="11"/>
    <col width="13" customWidth="1" min="12" max="12"/>
    <col width="62" customWidth="1" min="13" max="13"/>
  </cols>
  <sheetData>
    <row r="1" ht="26" customHeight="1">
      <c r="A1" s="1" t="inlineStr">
        <is>
          <t>直插式面包板样机 · C 混合路线采购清单（v3 · 嘉立创优先）</t>
        </is>
      </c>
    </row>
    <row r="2" ht="30" customHeight="1">
      <c r="A2" s="2" t="inlineStr">
        <is>
          <t>v5 变更（2026-09-21）：① INA226 沿用成品模块自带的 0.1Ω 分流电阻、不拆换 → 第 3 项 10mΩ 采样电阻转为备用件；② 因此本路线焊接量由 3 处减为 2 处。
v4 变更（2026-09-18）：① 8 项通用件由「中文描述 + 站内搜索词」换成**立创在售精确型号 + 商品编号（C 号）**，并给出各项起订量；② SS34 更正为 1N5819/C2906661（直插 DO-41）；③ 面包板立创自营缺货 → 转淘宝，渠道已调整。立创在售项均给出 C 编号可站内直搜；立创无货/只有零件的明确标注并给替代渠道。价格核实日期 2026-09-18。</t>
        </is>
      </c>
    </row>
    <row r="3" ht="30" customHeight="1">
      <c r="A3" s="4" t="inlineStr">
        <is>
          <t>序号</t>
        </is>
      </c>
      <c r="B3" s="4" t="inlineStr">
        <is>
          <t>分组</t>
        </is>
      </c>
      <c r="C3" s="4" t="inlineStr">
        <is>
          <t>优先级</t>
        </is>
      </c>
      <c r="D3" s="4" t="inlineStr">
        <is>
          <t>物料名称</t>
        </is>
      </c>
      <c r="E3" s="4" t="inlineStr">
        <is>
          <t>指定商品 / 型号</t>
        </is>
      </c>
      <c r="F3" s="4" t="inlineStr">
        <is>
          <t>立创编号 / SKU</t>
        </is>
      </c>
      <c r="G3" s="4" t="inlineStr">
        <is>
          <t>数量</t>
        </is>
      </c>
      <c r="H3" s="4" t="inlineStr">
        <is>
          <t>单位</t>
        </is>
      </c>
      <c r="I3" s="4" t="inlineStr">
        <is>
          <t>单价</t>
        </is>
      </c>
      <c r="J3" s="4" t="inlineStr">
        <is>
          <t>小计</t>
        </is>
      </c>
      <c r="K3" s="4" t="inlineStr">
        <is>
          <t>采购渠道</t>
        </is>
      </c>
      <c r="L3" s="4" t="inlineStr">
        <is>
          <t>核实状态</t>
        </is>
      </c>
      <c r="M3" s="4" t="inlineStr">
        <is>
          <t>备注 / 核验要点</t>
        </is>
      </c>
    </row>
    <row r="4">
      <c r="A4" s="14" t="n">
        <v>1</v>
      </c>
      <c r="B4" s="15" t="inlineStr">
        <is>
          <t>立创商城</t>
        </is>
      </c>
      <c r="C4" s="14" t="inlineStr">
        <is>
          <t>必买</t>
        </is>
      </c>
      <c r="D4" s="15" t="inlineStr">
        <is>
          <t>ESP32-S3 开发板</t>
        </is>
      </c>
      <c r="E4" s="15" t="inlineStr">
        <is>
          <t>立创·ESP32S3R8N8 开发板</t>
        </is>
      </c>
      <c r="F4" s="15" t="inlineStr">
        <is>
          <t>C20626143</t>
        </is>
      </c>
      <c r="G4" s="14" t="n">
        <v>1</v>
      </c>
      <c r="H4" s="14" t="inlineStr">
        <is>
          <t>块</t>
        </is>
      </c>
      <c r="I4" s="16" t="n">
        <v>15.9</v>
      </c>
      <c r="J4" s="17" t="n">
        <v>15.9</v>
      </c>
      <c r="K4" s="15" t="inlineStr">
        <is>
          <t>立创商城</t>
        </is>
      </c>
      <c r="L4" s="14" t="inlineStr">
        <is>
          <t>已核实</t>
        </is>
      </c>
      <c r="M4" s="15" t="inlineStr">
        <is>
          <t>板载 ME6217C33 LDO，3.3V 由 17/18/19 脚输出（约 500mA，以规格书为准）；IO38/39/40/41/42/47 与 IO10-13 均引出；板载 PCB 天线、无 U.FL。活动价，原价 ¥30.52。⚠ 赠送的 1x20P 排针需自己焊</t>
        </is>
      </c>
    </row>
    <row r="5">
      <c r="A5" s="14" t="n">
        <v>2</v>
      </c>
      <c r="B5" s="15" t="inlineStr">
        <is>
          <t>立创商城</t>
        </is>
      </c>
      <c r="C5" s="14" t="inlineStr">
        <is>
          <t>必买</t>
        </is>
      </c>
      <c r="D5" s="15" t="inlineStr">
        <is>
          <t>肖特基二极管</t>
        </is>
      </c>
      <c r="E5" s="15" t="inlineStr">
        <is>
          <t>1N5819（DO-41 直插 40V/1A 肖特基）</t>
        </is>
      </c>
      <c r="F5" s="15" t="inlineStr">
        <is>
          <t>C2906661</t>
        </is>
      </c>
      <c r="G5" s="14" t="n">
        <v>4</v>
      </c>
      <c r="H5" s="14" t="inlineStr">
        <is>
          <t>只</t>
        </is>
      </c>
      <c r="I5" s="16" t="n">
        <v>0.178</v>
      </c>
      <c r="J5" s="17" t="n">
        <v>0.71</v>
      </c>
      <c r="K5" s="15" t="inlineStr">
        <is>
          <t>立创商城</t>
        </is>
      </c>
      <c r="L5" s="14" t="inlineStr">
        <is>
          <t>已核实</t>
        </is>
      </c>
      <c r="M5" s="15" t="inlineStr">
        <is>
          <t>对应原设计 D1。起订 1 只、散装，小量友好；等效原 SS34（SMA 贴片，面包板插不了）。Qi 模块 5V 输出必须经它再并入系统 5V，否则 USB 供电时会倒灌进 Qi 模块。备选 C27636129（东沃，起订 20）</t>
        </is>
      </c>
    </row>
    <row r="6">
      <c r="A6" s="14" t="n">
        <v>3</v>
      </c>
      <c r="B6" s="15" t="inlineStr">
        <is>
          <t>立创商城</t>
        </is>
      </c>
      <c r="C6" s="14" t="inlineStr">
        <is>
          <t>必买</t>
        </is>
      </c>
      <c r="D6" s="15" t="inlineStr">
        <is>
          <t>采样电阻 10mΩ（备用件）</t>
        </is>
      </c>
      <c r="E6" s="15" t="inlineStr">
        <is>
          <t>HoLRM2512-2W-10mR-1%</t>
        </is>
      </c>
      <c r="F6" s="15" t="inlineStr">
        <is>
          <t>C2985675</t>
        </is>
      </c>
      <c r="G6" s="14" t="n">
        <v>5</v>
      </c>
      <c r="H6" s="14" t="inlineStr">
        <is>
          <t>只</t>
        </is>
      </c>
      <c r="I6" s="16" t="n">
        <v>1.5</v>
      </c>
      <c r="J6" s="17" t="n">
        <v>7.5</v>
      </c>
      <c r="K6" s="15" t="inlineStr">
        <is>
          <t>立创商城</t>
        </is>
      </c>
      <c r="L6" s="14" t="inlineStr">
        <is>
          <t>已核实</t>
        </is>
      </c>
      <c r="M6" s="15" t="inlineStr">
        <is>
          <t>10mΩ ±1% / 2W / ±50ppm/℃ / 额定 14.14A。**2026-09-21 起转为备用件**：本阶段沿用 INA226 模块自带的 0.1Ω 分流，不拆换，本项用量为 0。仅当实测电流超过约 800mA 时才启用本件换装（换装后软件只改 config.h 两个宏，CAL 恒为 2048）。备选 C5116354（TT，3W）</t>
        </is>
      </c>
    </row>
    <row r="7">
      <c r="A7" s="14" t="n">
        <v>4</v>
      </c>
      <c r="B7" s="15" t="inlineStr">
        <is>
          <t>立创商城</t>
        </is>
      </c>
      <c r="C7" s="14" t="inlineStr">
        <is>
          <t>必买</t>
        </is>
      </c>
      <c r="D7" s="15" t="inlineStr">
        <is>
          <t>杜邦线</t>
        </is>
      </c>
      <c r="E7" s="15" t="inlineStr">
        <is>
          <t>立创·超软硅胶杜邦线 24AWG 10P</t>
        </is>
      </c>
      <c r="F7" s="15" t="inlineStr">
        <is>
          <t>LCKFB-JUMP-WIRES-10P</t>
        </is>
      </c>
      <c r="G7" s="14" t="n">
        <v>2</v>
      </c>
      <c r="H7" s="14" t="inlineStr">
        <is>
          <t>排</t>
        </is>
      </c>
      <c r="I7" s="16" t="n">
        <v>1</v>
      </c>
      <c r="J7" s="17" t="n">
        <v>2</v>
      </c>
      <c r="K7" s="15" t="inlineStr">
        <is>
          <t>立创商城</t>
        </is>
      </c>
      <c r="L7" s="14" t="inlineStr">
        <is>
          <t>已核实</t>
        </is>
      </c>
      <c r="M7" s="15" t="inlineStr">
        <is>
          <t>活动价（原价 ¥4.90）。SPI 与 SD 线束尽量短，&lt;15cm</t>
        </is>
      </c>
    </row>
    <row r="8">
      <c r="A8" s="14" t="n">
        <v>5</v>
      </c>
      <c r="B8" s="15" t="inlineStr">
        <is>
          <t>立创商城</t>
        </is>
      </c>
      <c r="C8" s="14" t="inlineStr">
        <is>
          <t>必买</t>
        </is>
      </c>
      <c r="D8" s="15" t="inlineStr">
        <is>
          <t>磁珠（3V3_SENS 分轨）</t>
        </is>
      </c>
      <c r="E8" s="15" t="inlineStr">
        <is>
          <t>RH3.5x0.8x9P52E（单路插件磁珠 100Ω@100MHz）</t>
        </is>
      </c>
      <c r="F8" s="15" t="inlineStr">
        <is>
          <t>C192455</t>
        </is>
      </c>
      <c r="G8" s="14" t="n">
        <v>20</v>
      </c>
      <c r="H8" s="14" t="inlineStr">
        <is>
          <t>只</t>
        </is>
      </c>
      <c r="I8" s="16" t="n">
        <v>0.203</v>
      </c>
      <c r="J8" s="17" t="n">
        <v>4.06</v>
      </c>
      <c r="K8" s="15" t="inlineStr">
        <is>
          <t>立创商城</t>
        </is>
      </c>
      <c r="L8" s="14" t="inlineStr">
        <is>
          <t>已核实</t>
        </is>
      </c>
      <c r="M8" s="15" t="inlineStr">
        <is>
          <t>起订量 20 只（实际只需 5 只）。对应原设计 FB1，C 路线「必须自己动手的 2 处」之一：传感器供电必须与 MCU 分开，开关噪声会直接调制成加速度信号。同规格备选 C42462943（ZE 增益）</t>
        </is>
      </c>
    </row>
    <row r="9">
      <c r="A9" s="14" t="n">
        <v>6</v>
      </c>
      <c r="B9" s="15" t="inlineStr">
        <is>
          <t>立创商城</t>
        </is>
      </c>
      <c r="C9" s="14" t="inlineStr">
        <is>
          <t>必买</t>
        </is>
      </c>
      <c r="D9" s="15" t="inlineStr">
        <is>
          <t>电容组合（3 项）</t>
        </is>
      </c>
      <c r="E9" s="15" t="inlineStr">
        <is>
          <t>100µF/16V 电解 C216305 + 100nF/50V 独石 C5632426 + 10µF/16V C53330112</t>
        </is>
      </c>
      <c r="F9" s="15" t="inlineStr">
        <is>
          <t>C216305 / C5632426 / C53330112</t>
        </is>
      </c>
      <c r="G9" s="14" t="n">
        <v>1</v>
      </c>
      <c r="H9" s="14" t="inlineStr">
        <is>
          <t>套</t>
        </is>
      </c>
      <c r="I9" s="16" t="n">
        <v>14.04</v>
      </c>
      <c r="J9" s="17" t="n">
        <v>14.04</v>
      </c>
      <c r="K9" s="15" t="inlineStr">
        <is>
          <t>立创商城</t>
        </is>
      </c>
      <c r="L9" s="14" t="inlineStr">
        <is>
          <t>已核实</t>
        </is>
      </c>
      <c r="M9" s="15" t="inlineStr">
        <is>
          <t>① 100µF/16V 电解 华威 KF1C101ME050A00CV0（起订20，20×¥0.206=¥4.12）；② 100nF/50V 独石 X7R 科尼盛 178MU0002（起订50，50×¥0.10★=¥5.00）；③ 10µF/16V 三莹 SHL 16V10UF（起订10，10×¥0.492=¥4.92）。3V3 轨并 100µF 电解抑制 WiFi 发射瞬间跌落；Qi 模块 5V 输出端并 100µF。★单价为 USD 折算。⚠ 100nF 别买风华 C94928（Y5V 介质，不能做去耦）</t>
        </is>
      </c>
    </row>
    <row r="10">
      <c r="A10" s="14" t="n">
        <v>7</v>
      </c>
      <c r="B10" s="15" t="inlineStr">
        <is>
          <t>立创商城</t>
        </is>
      </c>
      <c r="C10" s="14" t="inlineStr">
        <is>
          <t>必买</t>
        </is>
      </c>
      <c r="D10" s="15" t="inlineStr">
        <is>
          <t>按键、指示灯与限流/上下拉电阻</t>
        </is>
      </c>
      <c r="E10" s="15" t="inlineStr">
        <is>
          <t>轻触 SKHHAMA010 C139756 + LED 3A4RUD C52034638 + 10kΩ C119347 + 1kΩ C713997</t>
        </is>
      </c>
      <c r="F10" s="15" t="inlineStr">
        <is>
          <t>C139756 / C52034638 / C119347 / C713997</t>
        </is>
      </c>
      <c r="G10" s="14" t="n">
        <v>1</v>
      </c>
      <c r="H10" s="14" t="inlineStr">
        <is>
          <t>套</t>
        </is>
      </c>
      <c r="I10" s="16" t="n">
        <v>11.55</v>
      </c>
      <c r="J10" s="17" t="n">
        <v>11.55</v>
      </c>
      <c r="K10" s="15" t="inlineStr">
        <is>
          <t>立创商城</t>
        </is>
      </c>
      <c r="L10" s="14" t="inlineStr">
        <is>
          <t>已核实</t>
        </is>
      </c>
      <c r="M10" s="15" t="inlineStr">
        <is>
          <t>① 轻触 6×6×5 直插 ALPS SKHHAMA010（起订5，5×¥0.646=¥3.23，50万次）；② 3mm 红发红**长脚** LED 桂光 3A4RUD（起订20，20×¥0.106=¥2.12）；③ 10kΩ 金属膜 千志 MF1/4W-10KΩ±1% T（起订50，50×¥0.069=¥3.45）；④ 1kΩ 华星机电 MF1/4W-1KΩ±1%T52（起订50，50×¥0.055★=¥2.75）。对应 SW1(BOOT/IO0)、SW2(EN)、LED1(IO2)</t>
        </is>
      </c>
    </row>
    <row r="11">
      <c r="A11" s="14" t="n">
        <v>8</v>
      </c>
      <c r="B11" s="15" t="inlineStr">
        <is>
          <t>其他平台</t>
        </is>
      </c>
      <c r="C11" s="14" t="inlineStr">
        <is>
          <t>必买</t>
        </is>
      </c>
      <c r="D11" s="15" t="inlineStr">
        <is>
          <t>面包板</t>
        </is>
      </c>
      <c r="E11" s="15" t="inlineStr">
        <is>
          <t>免焊面包板 830 孔（MB-102 型）</t>
        </is>
      </c>
      <c r="F11" s="15" t="inlineStr">
        <is>
          <t>立创 C22041235 已缺货</t>
        </is>
      </c>
      <c r="G11" s="14" t="n">
        <v>2</v>
      </c>
      <c r="H11" s="14" t="inlineStr">
        <is>
          <t>块</t>
        </is>
      </c>
      <c r="I11" s="16" t="n">
        <v>8</v>
      </c>
      <c r="J11" s="17" t="n">
        <v>16</v>
      </c>
      <c r="K11" s="15" t="inlineStr">
        <is>
          <t>淘宝 / 京东</t>
        </is>
      </c>
      <c r="L11" s="14" t="inlineStr">
        <is>
          <t>已核实：立创自营缺货</t>
        </is>
      </c>
      <c r="M11" s="15" t="inlineStr">
        <is>
          <t>⚠ 立创自营 830 孔免焊面包板 C22041235 站内现货为 0 → 转淘宝/京东买 MB-102 同规格（约 ¥6~10）。注意买 830 孔全尺寸 16.5×5.4cm，别买 400 孔迷你款</t>
        </is>
      </c>
    </row>
    <row r="12">
      <c r="A12" s="14" t="n">
        <v>9</v>
      </c>
      <c r="B12" s="15" t="inlineStr">
        <is>
          <t>立创商城</t>
        </is>
      </c>
      <c r="C12" s="14" t="inlineStr">
        <is>
          <t>按需</t>
        </is>
      </c>
      <c r="D12" s="15" t="inlineStr">
        <is>
          <t>焊接工具与耗材</t>
        </is>
      </c>
      <c r="E12" s="15" t="inlineStr">
        <is>
          <t>恒温烙铁 + 焊锡丝 + 助焊剂 + 镊子</t>
        </is>
      </c>
      <c r="F12" s="15" t="inlineStr">
        <is>
          <t>站内选型</t>
        </is>
      </c>
      <c r="G12" s="14" t="n">
        <v>1</v>
      </c>
      <c r="H12" s="14" t="inlineStr">
        <is>
          <t>套</t>
        </is>
      </c>
      <c r="I12" s="16" t="n">
        <v>85</v>
      </c>
      <c r="J12" s="17" t="n">
        <v>85</v>
      </c>
      <c r="K12" s="15" t="inlineStr">
        <is>
          <t>立创商城</t>
        </is>
      </c>
      <c r="L12" s="14" t="inlineStr">
        <is>
          <t>按需</t>
        </is>
      </c>
      <c r="M12" s="15" t="inlineStr">
        <is>
          <t>实验室（黄辉组/沈剑云组）可借则免。本路线焊接量：开发板排针 + 磁珠（共 2 处）。INA226 不拆换分流电阻（2026-09-21 决定）</t>
        </is>
      </c>
    </row>
    <row r="13">
      <c r="A13" s="14" t="n">
        <v>10</v>
      </c>
      <c r="B13" s="15" t="inlineStr">
        <is>
          <t>立创商城</t>
        </is>
      </c>
      <c r="C13" s="14" t="inlineStr">
        <is>
          <t>按需</t>
        </is>
      </c>
      <c r="D13" s="15" t="inlineStr">
        <is>
          <t>万用表</t>
        </is>
      </c>
      <c r="E13" s="15" t="inlineStr">
        <is>
          <t>数字万用表（带通断档）</t>
        </is>
      </c>
      <c r="F13" s="15" t="inlineStr">
        <is>
          <t>站内选型</t>
        </is>
      </c>
      <c r="G13" s="14" t="n">
        <v>1</v>
      </c>
      <c r="H13" s="14" t="inlineStr">
        <is>
          <t>台</t>
        </is>
      </c>
      <c r="I13" s="16" t="n">
        <v>80</v>
      </c>
      <c r="J13" s="17" t="n">
        <v>80</v>
      </c>
      <c r="K13" s="15" t="inlineStr">
        <is>
          <t>立创商城</t>
        </is>
      </c>
      <c r="L13" s="14" t="inlineStr">
        <is>
          <t>按需</t>
        </is>
      </c>
      <c r="M13" s="15" t="inlineStr">
        <is>
          <t>可借则免。上电前测 BAT_N 与 GND 不导通；无线充验证也要靠它测 5V</t>
        </is>
      </c>
    </row>
    <row r="14">
      <c r="A14" s="14" t="n">
        <v>11</v>
      </c>
      <c r="B14" s="15" t="inlineStr">
        <is>
          <t>其他平台</t>
        </is>
      </c>
      <c r="C14" s="14" t="inlineStr">
        <is>
          <t>必买</t>
        </is>
      </c>
      <c r="D14" s="15" t="inlineStr">
        <is>
          <t>INA226 成品模块</t>
        </is>
      </c>
      <c r="E14" s="15" t="inlineStr">
        <is>
          <t>通用 INA226 模块（自带 R100）</t>
        </is>
      </c>
      <c r="F14" s="15" t="inlineStr">
        <is>
          <t>—（立创只有芯片）</t>
        </is>
      </c>
      <c r="G14" s="14" t="n">
        <v>2</v>
      </c>
      <c r="H14" s="14" t="inlineStr">
        <is>
          <t>个</t>
        </is>
      </c>
      <c r="I14" s="16" t="n">
        <v>12</v>
      </c>
      <c r="J14" s="17" t="n">
        <v>24</v>
      </c>
      <c r="K14" s="15" t="inlineStr">
        <is>
          <t>淘宝 / 天猫</t>
        </is>
      </c>
      <c r="L14" s="14" t="inlineStr">
        <is>
          <t>用户已定：走模块</t>
        </is>
      </c>
      <c r="M14" s="15" t="inlineStr">
        <is>
          <t>★ 2026-09-21 决定：**不拆换分流电阻**，沿用模块自带的 R100（0.1Ω）。量程 ±0.8192A、Current_LSB 25µA；系统峰值 456mA 有 1.8 倍余量，超过约 800mA 再换成从立创买的 10mΩ 2512。模块 PCB 上 IC 的 IN+/IN− 本就直连电阻焊盘，属天然开尔文接法，直接插面包板即可</t>
        </is>
      </c>
    </row>
    <row r="15">
      <c r="A15" s="14" t="n">
        <v>12</v>
      </c>
      <c r="B15" s="15" t="inlineStr">
        <is>
          <t>其他平台</t>
        </is>
      </c>
      <c r="C15" s="14" t="inlineStr">
        <is>
          <t>必买</t>
        </is>
      </c>
      <c r="D15" s="15" t="inlineStr">
        <is>
          <t>无线充电接收模块</t>
        </is>
      </c>
      <c r="E15" s="15" t="inlineStr">
        <is>
          <t>Qi 5W 接收模块（带充电管理，含线圈）</t>
        </is>
      </c>
      <c r="F15" s="15" t="inlineStr">
        <is>
          <t>—（立创只有芯片）</t>
        </is>
      </c>
      <c r="G15" s="14" t="n">
        <v>1</v>
      </c>
      <c r="H15" s="14" t="inlineStr">
        <is>
          <t>套</t>
        </is>
      </c>
      <c r="I15" s="16" t="n">
        <v>15</v>
      </c>
      <c r="J15" s="17" t="n">
        <v>15</v>
      </c>
      <c r="K15" s="15" t="inlineStr">
        <is>
          <t>淘宝</t>
        </is>
      </c>
      <c r="L15" s="14" t="inlineStr">
        <is>
          <t>已核实：立创无模块</t>
        </is>
      </c>
      <c r="M15" s="15" t="inlineStr">
        <is>
          <t>替代原设计 IP6831（QFN-16，手焊难度高）。符合 WPC V1.2.4；输出 5V≤1A（供电子设备）+ 4.2V≤0.6A（充 3.7V 锂电）；效率 70~80%；PCBA 18×15×1.9mm；方形线圈。⚠ ① 5V 输出必须经 1N5819 并入系统；② 到手先确认两路输出是「同时可用」还是「二选一」；③ 因自带充电管理，将来做电池链路可省掉 TP4056</t>
        </is>
      </c>
    </row>
    <row r="16">
      <c r="A16" s="14" t="n">
        <v>13</v>
      </c>
      <c r="B16" s="15" t="inlineStr">
        <is>
          <t>其他平台</t>
        </is>
      </c>
      <c r="C16" s="14" t="inlineStr">
        <is>
          <t>必买</t>
        </is>
      </c>
      <c r="D16" s="15" t="inlineStr">
        <is>
          <t>无线充电发射模块</t>
        </is>
      </c>
      <c r="E16" s="15" t="inlineStr">
        <is>
          <t>Qi 10W 发射模块（长形）</t>
        </is>
      </c>
      <c r="F16" s="15" t="inlineStr">
        <is>
          <t>—</t>
        </is>
      </c>
      <c r="G16" s="14" t="n">
        <v>1</v>
      </c>
      <c r="H16" s="14" t="inlineStr">
        <is>
          <t>套</t>
        </is>
      </c>
      <c r="I16" s="16" t="n">
        <v>20</v>
      </c>
      <c r="J16" s="17" t="n">
        <v>20</v>
      </c>
      <c r="K16" s="15" t="inlineStr">
        <is>
          <t>淘宝</t>
        </is>
      </c>
      <c r="L16" s="14" t="inlineStr">
        <is>
          <t>已核实</t>
        </is>
      </c>
      <c r="M16" s="15" t="inlineStr">
        <is>
          <t>10W 发射配 5W 接收，功率余量充足，属合理搭配。⚠ 下单前务必确认输入电压：5V 版可直接 USB 供电；9V/12V 版须另配电源适配器。也可先拿现成手机无线充底座试，但部分底座有异物检测、不认非手机负载</t>
        </is>
      </c>
    </row>
    <row r="17">
      <c r="A17" s="14" t="n">
        <v>14</v>
      </c>
      <c r="B17" s="15" t="inlineStr">
        <is>
          <t>其他平台</t>
        </is>
      </c>
      <c r="C17" s="14" t="inlineStr">
        <is>
          <t>必买</t>
        </is>
      </c>
      <c r="D17" s="15" t="inlineStr">
        <is>
          <t>振动传感器评估板</t>
        </is>
      </c>
      <c r="E17" s="15" t="inlineStr">
        <is>
          <t>STEVAL-MKI208V1K（IIS3DWB + MKIGIBV2）</t>
        </is>
      </c>
      <c r="F17" s="15" t="inlineStr">
        <is>
          <t>—（立创无）</t>
        </is>
      </c>
      <c r="G17" s="14" t="n">
        <v>1</v>
      </c>
      <c r="H17" s="14" t="inlineStr">
        <is>
          <t>套</t>
        </is>
      </c>
      <c r="I17" s="16" t="n">
        <v>270.73</v>
      </c>
      <c r="J17" s="17" t="n">
        <v>270.73</v>
      </c>
      <c r="K17" s="15" t="inlineStr">
        <is>
          <t>贸泽 Mouser</t>
        </is>
      </c>
      <c r="L17" s="14" t="inlineStr">
        <is>
          <t>已核实：立创无此件</t>
        </is>
      </c>
      <c r="M17" s="15" t="inlineStr">
        <is>
          <t>全套最贵一项。贸泽 ¥270.73 含税、库存 218 可立即发货；e络盟 ¥261.62、库存 20（英国仓，厂商标注货期 55 周）；**ST 官网预算价 US$31 且可申请样片，建议先试**</t>
        </is>
      </c>
    </row>
    <row r="18">
      <c r="A18" s="14" t="n">
        <v>15</v>
      </c>
      <c r="B18" s="15" t="inlineStr">
        <is>
          <t>其他平台</t>
        </is>
      </c>
      <c r="C18" s="14" t="inlineStr">
        <is>
          <t>必买</t>
        </is>
      </c>
      <c r="D18" s="15" t="inlineStr">
        <is>
          <t>TF 卡座转接板</t>
        </is>
      </c>
      <c r="E18" s="15" t="inlineStr">
        <is>
          <t>9P 自弹式直针款（向上引脚）</t>
        </is>
      </c>
      <c r="F18" s="15" t="inlineStr">
        <is>
          <t>—（立创仅贴片卡座）</t>
        </is>
      </c>
      <c r="G18" s="14" t="n">
        <v>2</v>
      </c>
      <c r="H18" s="14" t="inlineStr">
        <is>
          <t>块</t>
        </is>
      </c>
      <c r="I18" s="16" t="n">
        <v>8</v>
      </c>
      <c r="J18" s="17" t="n">
        <v>16</v>
      </c>
      <c r="K18" s="15" t="inlineStr">
        <is>
          <t>淘宝</t>
        </is>
      </c>
      <c r="L18" s="14" t="inlineStr">
        <is>
          <t>已核实：立创无成品</t>
        </is>
      </c>
      <c r="M18" s="15" t="inlineStr">
        <is>
          <t>立创只有 TF-01 贴片卡座（约 ¥0.3，需自制转接板，不划算）。必须 9P（含 D0~D3）；6P 的 SPI 版会与传感器抢占 IO10-13</t>
        </is>
      </c>
    </row>
    <row r="19">
      <c r="A19" s="14" t="n">
        <v>16</v>
      </c>
      <c r="B19" s="15" t="inlineStr">
        <is>
          <t>其他平台</t>
        </is>
      </c>
      <c r="C19" s="14" t="inlineStr">
        <is>
          <t>必买</t>
        </is>
      </c>
      <c r="D19" s="15" t="inlineStr">
        <is>
          <t>TF 卡</t>
        </is>
      </c>
      <c r="E19" s="15" t="inlineStr">
        <is>
          <t>8GB Class10 microSD</t>
        </is>
      </c>
      <c r="F19" s="15" t="inlineStr">
        <is>
          <t>—</t>
        </is>
      </c>
      <c r="G19" s="14" t="n">
        <v>1</v>
      </c>
      <c r="H19" s="14" t="inlineStr">
        <is>
          <t>张</t>
        </is>
      </c>
      <c r="I19" s="16" t="n">
        <v>20</v>
      </c>
      <c r="J19" s="17" t="n">
        <v>20</v>
      </c>
      <c r="K19" s="15" t="inlineStr">
        <is>
          <t>淘宝 / 京东</t>
        </is>
      </c>
      <c r="L19" s="14" t="inlineStr">
        <is>
          <t>—</t>
        </is>
      </c>
      <c r="M19" s="15" t="inlineStr">
        <is>
          <t>容量要求低；关键看写入速度，实测需 ≥300KB/s 才能稳定吃下高频采样</t>
        </is>
      </c>
    </row>
    <row r="20">
      <c r="A20" s="14" t="n">
        <v>17</v>
      </c>
      <c r="B20" s="15" t="inlineStr">
        <is>
          <t>本期不采购</t>
        </is>
      </c>
      <c r="C20" s="14" t="inlineStr">
        <is>
          <t>—</t>
        </is>
      </c>
      <c r="D20" s="15" t="inlineStr">
        <is>
          <t>3.3V 升降压模块</t>
        </is>
      </c>
      <c r="E20" s="15" t="inlineStr">
        <is>
          <t>（不需要）</t>
        </is>
      </c>
      <c r="F20" s="15" t="inlineStr">
        <is>
          <t>—</t>
        </is>
      </c>
      <c r="G20" s="14" t="n">
        <v>0</v>
      </c>
      <c r="H20" s="14" t="inlineStr">
        <is>
          <t>个</t>
        </is>
      </c>
      <c r="I20" s="16" t="n">
        <v>0</v>
      </c>
      <c r="J20" s="17" t="n">
        <v>0</v>
      </c>
      <c r="K20" s="15" t="inlineStr">
        <is>
          <t>—</t>
        </is>
      </c>
      <c r="L20" s="14" t="inlineStr">
        <is>
          <t>已排除</t>
        </is>
      </c>
      <c r="M20" s="15" t="inlineStr">
        <is>
          <t>面包板阶段直接用开发板板载 3.3V 供电。⚠ 立创的 DC-DC 电源模块类目（易川 K7805、金升阳、MPS/TI）输入均为 6.5~36V，接不了单节锂电 3.0~4.2V，模块路线在立创走不通</t>
        </is>
      </c>
    </row>
    <row r="21">
      <c r="A21" s="14" t="n">
        <v>18</v>
      </c>
      <c r="B21" s="15" t="inlineStr">
        <is>
          <t>本期不采购</t>
        </is>
      </c>
      <c r="C21" s="14" t="inlineStr">
        <is>
          <t>—</t>
        </is>
      </c>
      <c r="D21" s="15" t="inlineStr">
        <is>
          <t>TP4056 模块 / 锂电池</t>
        </is>
      </c>
      <c r="E21" s="15" t="inlineStr">
        <is>
          <t>（TP4056 已可省，电池仍要买）</t>
        </is>
      </c>
      <c r="F21" s="15" t="inlineStr">
        <is>
          <t>—</t>
        </is>
      </c>
      <c r="G21" s="14" t="n">
        <v>0</v>
      </c>
      <c r="H21" s="14" t="inlineStr">
        <is>
          <t>套</t>
        </is>
      </c>
      <c r="I21" s="16" t="n">
        <v>0</v>
      </c>
      <c r="J21" s="17" t="n">
        <v>0</v>
      </c>
      <c r="K21" s="15" t="inlineStr">
        <is>
          <t>—</t>
        </is>
      </c>
      <c r="L21" s="14" t="inlineStr">
        <is>
          <t>推后</t>
        </is>
      </c>
      <c r="M21" s="15" t="inlineStr">
        <is>
          <t>**TP4056 不用买了**：所购 Qi 接收模块自带充电管理（4.2V≤0.6A），电池链路直接用模块的充电输出即可，比原设计少一级。锂电池仍须另购。⚠ 顺序不变：等无线充与主链路都跑通后再做</t>
        </is>
      </c>
    </row>
    <row r="22">
      <c r="A22" s="14" t="n">
        <v>19</v>
      </c>
      <c r="B22" s="15" t="inlineStr">
        <is>
          <t>本期不采购</t>
        </is>
      </c>
      <c r="C22" s="14" t="inlineStr">
        <is>
          <t>—</t>
        </is>
      </c>
      <c r="D22" s="15" t="inlineStr">
        <is>
          <t>射频分集物料</t>
        </is>
      </c>
      <c r="E22" s="15" t="inlineStr">
        <is>
          <t>（硬件受限）</t>
        </is>
      </c>
      <c r="F22" s="15" t="inlineStr">
        <is>
          <t>—</t>
        </is>
      </c>
      <c r="G22" s="14" t="n">
        <v>0</v>
      </c>
      <c r="H22" s="14" t="inlineStr">
        <is>
          <t>套</t>
        </is>
      </c>
      <c r="I22" s="16" t="n">
        <v>0</v>
      </c>
      <c r="J22" s="17" t="n">
        <v>0</v>
      </c>
      <c r="K22" s="15" t="inlineStr">
        <is>
          <t>—</t>
        </is>
      </c>
      <c r="L22" s="14" t="inlineStr">
        <is>
          <t>受阻</t>
        </is>
      </c>
      <c r="M22" s="15" t="inlineStr">
        <is>
          <t>立创自营开发板为板载 PCB 天线、无 U.FL，射频分集物理上做不了。若要保留，须改用乐鑫 ESP32-S3-DevKitC-1U（约 ¥99）或 WROOM-1U 模组自搭</t>
        </is>
      </c>
    </row>
    <row r="23">
      <c r="A23" s="9" t="inlineStr">
        <is>
          <t>合计</t>
        </is>
      </c>
      <c r="B23" s="19" t="n"/>
      <c r="C23" s="19" t="n"/>
      <c r="D23" s="19" t="n"/>
      <c r="E23" s="19" t="n"/>
      <c r="F23" s="19" t="n"/>
      <c r="G23" s="19" t="n"/>
      <c r="H23" s="19" t="n"/>
      <c r="I23" s="20" t="n"/>
      <c r="J23" s="11" t="n">
        <v>602.49</v>
      </c>
      <c r="K23" s="9" t="n"/>
      <c r="L23" s="9" t="n"/>
      <c r="M23" s="9" t="n"/>
    </row>
  </sheetData>
  <autoFilter ref="A3:M22"/>
  <mergeCells count="3">
    <mergeCell ref="A23:I23"/>
    <mergeCell ref="A2:M2"/>
    <mergeCell ref="A1:M1"/>
  </mergeCells>
  <conditionalFormatting sqref="C4:C22">
    <cfRule type="cellIs" priority="1" operator="equal" dxfId="0">
      <formula>"必买"</formula>
    </cfRule>
    <cfRule type="cellIs" priority="2" operator="equal" dxfId="1">
      <formula>"按需"</formula>
    </cfRule>
    <cfRule type="cellIs" priority="3" operator="equal" dxfId="2">
      <formula>"—"</formula>
    </cfRule>
  </conditionalFormatting>
  <conditionalFormatting sqref="B4:B22">
    <cfRule type="cellIs" priority="4" operator="equal" dxfId="3">
      <formula>"立创商城"</formula>
    </cfRule>
    <cfRule type="cellIs" priority="5" operator="equal" dxfId="4">
      <formula>"其他平台"</formula>
    </cfRule>
    <cfRule type="cellIs" priority="6" operator="equal" dxfId="5">
      <formula>"本期不采购"</formula>
    </cfRule>
  </conditionalFormatting>
  <dataValidations count="1">
    <dataValidation sqref="C4:C22" showDropDown="0" showInputMessage="0" showErrorMessage="0" allowBlank="1" type="list">
      <formula1>"必买,按需,可延后,—"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6" customWidth="1" min="4" max="4"/>
    <col width="54" customWidth="1" min="5" max="5"/>
  </cols>
  <sheetData>
    <row r="1" ht="26" customHeight="1">
      <c r="A1" s="1" t="inlineStr">
        <is>
          <t>渠道与选型说明 · 立创买不到 / 缺货的事怎么处理（v4）</t>
        </is>
      </c>
    </row>
    <row r="3" ht="30" customHeight="1">
      <c r="A3" s="4" t="inlineStr">
        <is>
          <t>序号</t>
        </is>
      </c>
      <c r="B3" s="4" t="inlineStr">
        <is>
          <t>事项</t>
        </is>
      </c>
      <c r="C3" s="4" t="inlineStr">
        <is>
          <t>立创商城的实际情况</t>
        </is>
      </c>
      <c r="D3" s="4" t="inlineStr">
        <is>
          <t>可选做法</t>
        </is>
      </c>
      <c r="E3" s="4" t="inlineStr">
        <is>
          <t>本版结论</t>
        </is>
      </c>
    </row>
    <row r="4">
      <c r="A4" s="14" t="n">
        <v>1</v>
      </c>
      <c r="B4" s="15" t="inlineStr">
        <is>
          <t>无线充电</t>
        </is>
      </c>
      <c r="C4" s="15" t="inlineStr">
        <is>
          <t>「无线充放电芯片」类目只有芯片：BQ51013AYFPR（C2156137，¥18.45，DSBGA-28）、BQ51013B 系列（C55663 / C2650154）、STWLC68JRH（C1857516，¥40.08，WLCSP-72）。**全部是小间距球栅封装，无成品模块**</t>
        </is>
      </c>
      <c r="D4" s="15" t="inlineStr">
        <is>
          <t>① 立创买芯片自制（DSBGA-28 / WLCSP-72，手焊几乎不可能）
② 淘宝买 Qi 5W 接收模块（含线圈）约 ¥15 + 发射模块约 ¥20
③ 也可用现成手机无线充底座当发射端</t>
        </is>
      </c>
      <c r="E4" s="15" t="inlineStr">
        <is>
          <t>**走②**。原设计 IP6831 为 QFN-16，在面包板阶段同样不现实。
⚠ 关键接线：Qi 模块 5V 输出 —— SS34 二极管 —— 系统 5V 节点，与 USB 形成 OR；否则插 USB 时会倒灌进 Qi 模块（原设计 D1 = SS34 正是干这个）</t>
        </is>
      </c>
    </row>
    <row r="5">
      <c r="A5" s="14" t="n">
        <v>2</v>
      </c>
      <c r="B5" s="15" t="inlineStr">
        <is>
          <t>INA226 电流检测</t>
        </is>
      </c>
      <c r="C5" s="15" t="inlineStr">
        <is>
          <t>有芯片 C49851（INA226AIDGSR，VSSOP-10，¥4.75，现货 4.5 万），**没有成品模块**</t>
        </is>
      </c>
      <c r="D5" s="15" t="inlineStr">
        <is>
          <t>① 立创买芯片 + VSSOP-10 转 DIP 转接板，手焊 0.5mm 间距
② 淘宝买 INA226 模块 ¥9.9~15，沿用其自带的 R100（0.1Ω），不拆换（2026-09-21 决定）；仅当实测电流超约 800mA 时才换 10mΩ 2512</t>
        </is>
      </c>
      <c r="E5" s="15" t="inlineStr">
        <is>
          <t>**已按你的决定走②**，且 **2026-09-21 进一步决定：连 2512 也不拆换**——沿用模块自带的 0.1Ω。理由：峰值 456mA 对 ±0.8192A 有 1.8 倍余量；拆焊虚焊风险高于收益；小电流精度反而更好（Vos ±10µV 固定，误差占比与阻值成反比）。超过约 800mA 再换。
⚠ 模块 PCB 上 IC 的 IN+/IN− 本就直连电阻焊盘，属天然开尔文接法——因此连电阻都不必换，更不需要自制四线小板</t>
        </is>
      </c>
    </row>
    <row r="6">
      <c r="A6" s="14" t="n">
        <v>3</v>
      </c>
      <c r="B6" s="15" t="inlineStr">
        <is>
          <t>振动传感器</t>
        </is>
      </c>
      <c r="C6" s="15" t="inlineStr">
        <is>
          <t>完全没有。立创不代理 ST 评估板</t>
        </is>
      </c>
      <c r="D6" s="15" t="inlineStr">
        <is>
          <t>① ST 官网：预算价 US$31（约 ¥220），标注 Free Sample 可申请
② 贸泽 Mouser：¥270.73 含税，库存 218
③ e络盟：¥261.62，库存 20（英国仓）</t>
        </is>
      </c>
      <c r="E6" s="15" t="inlineStr">
        <is>
          <t>**优先试 ST 官网样片申请**（高校/研0 身份通常可过），不行再走贸泽。
不要在淘宝搜「IIS3DWB 模块」——多为第三方小板，芯片真伪与 DIL24 脚位都不保证</t>
        </is>
      </c>
    </row>
    <row r="7">
      <c r="A7" s="14" t="n">
        <v>4</v>
      </c>
      <c r="B7" s="15" t="inlineStr">
        <is>
          <t>3.3V 供电</t>
        </is>
      </c>
      <c r="C7" s="15" t="inlineStr">
        <is>
          <t>DC-DC 电源模块类目全为工业插件模块，输入 6.5~36V（易川 K7805-1000R3 ¥8.35、金升阳 K7805-500R3 ¥9.41、MPS/TI 的 MPM/TPS82 系列为降压型），**接不了单节锂电 3.0~4.2V**</t>
        </is>
      </c>
      <c r="D7" s="15" t="inlineStr">
        <is>
          <t>① 直接用开发板板载 3.3V 输出（ME6217C33，约 500mA）
② 若嫌容量紧：立创买 LDO 单独搭 3V3_SENS 支路</t>
        </is>
      </c>
      <c r="E7" s="15" t="inlineStr">
        <is>
          <t>**走①，不需要任何独立电源模块。** 注意：a) 3V3_SENS 必须加磁珠与主 3V3 分轨；b) 验证期先关 WiFi，避免 355mA 发射峰值把 LDO 拉跌；c) 3V3 轨并 100~470µF 电解</t>
        </is>
      </c>
    </row>
    <row r="8">
      <c r="A8" s="14" t="n">
        <v>5</v>
      </c>
      <c r="B8" s="15" t="inlineStr">
        <is>
          <t>ESP32-S3 主控</t>
        </is>
      </c>
      <c r="C8" s="15" t="inlineStr">
        <is>
          <t>有货且便宜：立创自营 ESP32S3R8N8 开发板 C20626143，活动价 ¥15.90</t>
        </is>
      </c>
      <c r="D8" s="15" t="inlineStr">
        <is>
          <t>① 立创·ESP32S3R8N8（¥15.90，板载 PCB 天线、无 U.FL）
② 乐鑫 ESP32-S3-DevKitC-1U（约 ¥99，有 U.FL，可保留射频分集）</t>
        </is>
      </c>
      <c r="E8" s="15" t="inlineStr">
        <is>
          <t>**走①。** 已逐脚核对：IO38/39/40/41/42/47（SDMMC）与 IO10-13（SPI）全部引出。
代价：射频分集（M8 的一部分）已于 2026-09-18 16:12 经你确认放弃——立创自营板为板载 PCB 天线、无 U.FL；若要保留须换 ②（乐鑫 ESP32-S3-DevKitC-1U，约 ¥99）</t>
        </is>
      </c>
    </row>
    <row r="9">
      <c r="A9" s="14" t="n">
        <v>6</v>
      </c>
      <c r="B9" s="15" t="inlineStr">
        <is>
          <t>TF 卡座</t>
        </is>
      </c>
      <c r="C9" s="15" t="inlineStr">
        <is>
          <t>有 TF-01 等**贴片卡座连接器**（约 ¥0.3），**没有即插面包板的转接板**</t>
        </is>
      </c>
      <c r="D9" s="15" t="inlineStr">
        <is>
          <t>① 立创买卡座 + 自制/打样 9P 转接小板（3~5 天）
② 淘宝买 9P 自弹式直针转接板 ¥7.48~10</t>
        </is>
      </c>
      <c r="E9" s="15" t="inlineStr">
        <is>
          <t>**走②**。差价不到 20 元，省掉一次打样与焊接。必须 9P（含 D0~D3）且选直针款（引脚向上）才好插面包板</t>
        </is>
      </c>
    </row>
    <row r="10">
      <c r="A10" s="21" t="inlineStr">
        <is>
          <t>7</t>
        </is>
      </c>
      <c r="B10" s="21" t="inlineStr">
        <is>
          <t>面包板</t>
        </is>
      </c>
      <c r="C10" s="21" t="inlineStr">
        <is>
          <t>立创自营 830 孔免焊面包板 C22041235（Aosong）站内现货为 0 —— 属外购类目，不是元器件，本身就不是立创的强项</t>
        </is>
      </c>
      <c r="D10" s="21" t="inlineStr">
        <is>
          <t>① 淘宝 / 京东买 MB-102 同规格（约 ¥6~10）
② 等立创补货（不确定）</t>
        </is>
      </c>
      <c r="E10" s="21" t="inlineStr">
        <is>
          <t>**走①。** MB-102 是行业通用型号，830 孔全尺寸（16.5×5.4cm）。⚠ 别买 400 孔迷你款，本样机要放两块板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62" customWidth="1" min="4" max="4"/>
  </cols>
  <sheetData>
    <row r="1" ht="26" customHeight="1">
      <c r="A1" s="1" t="inlineStr">
        <is>
          <t>无线充接线要点 · 保留后的改动</t>
        </is>
      </c>
    </row>
    <row r="3" ht="30" customHeight="1">
      <c r="A3" s="4" t="inlineStr">
        <is>
          <t>序号</t>
        </is>
      </c>
      <c r="B3" s="4" t="inlineStr">
        <is>
          <t>环节</t>
        </is>
      </c>
      <c r="C3" s="4" t="inlineStr">
        <is>
          <t>原设计（IP6831 路线）</t>
        </is>
      </c>
      <c r="D3" s="4" t="inlineStr">
        <is>
          <t>面包板版（Qi 模块路线）</t>
        </is>
      </c>
    </row>
    <row r="4">
      <c r="A4" s="14" t="n">
        <v>1</v>
      </c>
      <c r="B4" s="15" t="inlineStr">
        <is>
          <t>接收端</t>
        </is>
      </c>
      <c r="C4" s="15" t="inlineStr">
        <is>
          <t>IP6831（QFN-16）+ 线圈 J8，整流后从 pin8 输出到 5V_VIN</t>
        </is>
      </c>
      <c r="D4" s="15" t="inlineStr">
        <is>
          <t>Qi 5W 接收模块（含线圈），输出 5V/1A，感应距离 2~8mm。模块自带整流与稳压，不需要额外电路</t>
        </is>
      </c>
    </row>
    <row r="5">
      <c r="A5" s="14" t="n">
        <v>2</v>
      </c>
      <c r="B5" s="15" t="inlineStr">
        <is>
          <t>并入系统 5V</t>
        </is>
      </c>
      <c r="C5" s="15" t="inlineStr">
        <is>
          <t>5V_VIN 节点：USB VBUS 经 D1(SS34) 进来，IP6831 输出直接并上</t>
        </is>
      </c>
      <c r="D5" s="15" t="inlineStr">
        <is>
          <t>Qi 模块 5V 输出 **必须串一只 SS34（SMA）** 再并入系统 5V 节点。
⚠ 不串二极管：插 USB 时 5V 会倒灌进 Qi 模块输出端</t>
        </is>
      </c>
    </row>
    <row r="6">
      <c r="A6" s="14" t="n">
        <v>3</v>
      </c>
      <c r="B6" s="15" t="inlineStr">
        <is>
          <t>供电去向</t>
        </is>
      </c>
      <c r="C6" s="15" t="inlineStr">
        <is>
          <t>5V_VIN → TPS63031 → 3V3_SYS，另供 LGS4056 充电</t>
        </is>
      </c>
      <c r="D6" s="15" t="inlineStr">
        <is>
          <t>系统 5V → 开发板 5V 引脚 → 板载 ME6217 LDO → 3.3V。
注意：开发板 5V 引脚与 USB VBUS 是连通的，所以 Qi 支路必须串 SS34</t>
        </is>
      </c>
    </row>
    <row r="7">
      <c r="A7" s="14" t="n">
        <v>4</v>
      </c>
      <c r="B7" s="15" t="inlineStr">
        <is>
          <t>发射端</t>
        </is>
      </c>
      <c r="C7" s="15" t="inlineStr">
        <is>
          <t>原设计不含发射端（依赖现成 Qi 充电板）</t>
        </is>
      </c>
      <c r="D7" s="15" t="inlineStr">
        <is>
          <t>淘宝 Qi 5W 发射模块（5V 输入）约 ¥20；也可先用手边现成的手机无线充底座试，但部分底座有异物检测/握手，可能不认非手机负载</t>
        </is>
      </c>
    </row>
    <row r="8">
      <c r="A8" s="14" t="n">
        <v>5</v>
      </c>
      <c r="B8" s="15" t="inlineStr">
        <is>
          <t>验证判据</t>
        </is>
      </c>
      <c r="C8" s="15" t="inlineStr">
        <is>
          <t>TX 靠近后 5V_VIN 得电、D1 防倒灌不回灌 USB</t>
        </is>
      </c>
      <c r="D8" s="15" t="inlineStr">
        <is>
          <t>① Qi 模块空载输出 5V ±5%
② TX 靠近 2~8mm 时输出稳定、系统正常启动
③ 插 USB 后，用万用表测 Qi 模块输出端无反向电流（SS34 生效）
④ 系统全负载下 5V 跌落 &lt;100mV</t>
        </is>
      </c>
    </row>
    <row r="9">
      <c r="A9" s="14" t="n">
        <v>6</v>
      </c>
      <c r="B9" s="15" t="inlineStr">
        <is>
          <t>与电池的关系</t>
        </is>
      </c>
      <c r="C9" s="15" t="inlineStr">
        <is>
          <t>无线充给电池充电（LGS4056）是原设计的最终目的</t>
        </is>
      </c>
      <c r="D9" s="15" t="inlineStr">
        <is>
          <t>面包板阶段先只验证「无线充能给系统供电」。**给电池充电要等 M7 电池链路做出来之后再联**——两者共用同一套 5V 逻辑，先做前者会返工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58" customWidth="1" min="4" max="4"/>
    <col width="10" customWidth="1" min="5" max="5"/>
    <col width="13" customWidth="1" min="6" max="6"/>
    <col width="42" customWidth="1" min="7" max="7"/>
  </cols>
  <sheetData>
    <row r="1" ht="26" customHeight="1">
      <c r="A1" s="1" t="inlineStr">
        <is>
          <t>参数核验清单 · 到货后逐项核验，不通过不得上电</t>
        </is>
      </c>
    </row>
    <row r="3" ht="30" customHeight="1">
      <c r="A3" s="4" t="inlineStr">
        <is>
          <t>序号</t>
        </is>
      </c>
      <c r="B3" s="4" t="inlineStr">
        <is>
          <t>核验项</t>
        </is>
      </c>
      <c r="C3" s="4" t="inlineStr">
        <is>
          <t>涉及物料</t>
        </is>
      </c>
      <c r="D3" s="4" t="inlineStr">
        <is>
          <t>判据（通过标准）</t>
        </is>
      </c>
      <c r="E3" s="4" t="inlineStr">
        <is>
          <t>结果</t>
        </is>
      </c>
      <c r="F3" s="4" t="inlineStr">
        <is>
          <t>核验日期</t>
        </is>
      </c>
      <c r="G3" s="4" t="inlineStr">
        <is>
          <t>处置备注</t>
        </is>
      </c>
    </row>
    <row r="4">
      <c r="A4" s="14" t="n">
        <v>1</v>
      </c>
      <c r="B4" s="15" t="inlineStr">
        <is>
          <t>开发板引脚核对</t>
        </is>
      </c>
      <c r="C4" s="15" t="inlineStr">
        <is>
          <t>立创·ESP32S3R8N8</t>
        </is>
      </c>
      <c r="D4" s="15" t="inlineStr">
        <is>
          <t>确认 IO38/39/40/41/42/47（SDMMC）与 IO10~13（SPI）在位</t>
        </is>
      </c>
      <c r="E4" s="14" t="inlineStr">
        <is>
          <t>未核验</t>
        </is>
      </c>
      <c r="F4" s="18" t="n"/>
      <c r="G4" s="15" t="inlineStr">
        <is>
          <t>缺任一引脚则 SDMMC 或 SPI 需改线</t>
        </is>
      </c>
    </row>
    <row r="5">
      <c r="A5" s="14" t="n">
        <v>2</v>
      </c>
      <c r="B5" s="15" t="inlineStr">
        <is>
          <t>开发板排针焊接</t>
        </is>
      </c>
      <c r="C5" s="15" t="inlineStr">
        <is>
          <t>立创·ESP32S3R8N8</t>
        </is>
      </c>
      <c r="D5" s="15" t="inlineStr">
        <is>
          <t>赠送的 2.54mm 1x20P 排针焊齐、无虚焊、插面包板不松</t>
        </is>
      </c>
      <c r="E5" s="14" t="inlineStr">
        <is>
          <t>未核验</t>
        </is>
      </c>
      <c r="F5" s="18" t="n"/>
      <c r="G5" s="15" t="inlineStr">
        <is>
          <t>排针是随板赠送的散件，需自己焊</t>
        </is>
      </c>
    </row>
    <row r="6">
      <c r="A6" s="14" t="n">
        <v>3</v>
      </c>
      <c r="B6" s="15" t="inlineStr">
        <is>
          <t>3V3 空载 / 带载输出</t>
        </is>
      </c>
      <c r="C6" s="15" t="inlineStr">
        <is>
          <t>立创·ESP32S3R8N8</t>
        </is>
      </c>
      <c r="D6" s="15" t="inlineStr">
        <is>
          <t>空载 3.18~3.45V；接入全部负载并触发一次 WiFi 发射，跌落 &lt;100mV</t>
        </is>
      </c>
      <c r="E6" s="14" t="inlineStr">
        <is>
          <t>未核验</t>
        </is>
      </c>
      <c r="F6" s="18" t="n"/>
      <c r="G6" s="15" t="inlineStr">
        <is>
          <t>跌落过大需加大 3V3 旁路电容或关闭 WiFi</t>
        </is>
      </c>
    </row>
    <row r="7">
      <c r="A7" s="14" t="n">
        <v>4</v>
      </c>
      <c r="B7" s="15" t="inlineStr">
        <is>
          <t>3V3_SENS 分轨落实</t>
        </is>
      </c>
      <c r="C7" s="15" t="inlineStr">
        <is>
          <t>磁珠</t>
        </is>
      </c>
      <c r="D7" s="15" t="inlineStr">
        <is>
          <t>3V3_SENS 与 3V3 主轨之间穿过磁珠，非直连</t>
        </is>
      </c>
      <c r="E7" s="14" t="inlineStr">
        <is>
          <t>未核验</t>
        </is>
      </c>
      <c r="F7" s="18" t="n"/>
      <c r="G7" s="15" t="inlineStr">
        <is>
          <t>C 路线必须自己动手的 2 处之一</t>
        </is>
      </c>
    </row>
    <row r="8">
      <c r="A8" s="14" t="n">
        <v>5</v>
      </c>
      <c r="B8" s="15" t="inlineStr">
        <is>
          <t>INA226 分流电阻</t>
        </is>
      </c>
      <c r="C8" s="15" t="inlineStr">
        <is>
          <t>INA226 模块（自带 0.1Ω 分流）</t>
        </is>
      </c>
      <c r="D8" s="15" t="inlineStr">
        <is>
          <t>模块自带 R100（0.1Ω）保持不动，只记录丝印；固件按 0.1Ω 配量程（±0.8192A / 25µA）</t>
        </is>
      </c>
      <c r="E8" s="14" t="inlineStr">
        <is>
          <t>未核验</t>
        </is>
      </c>
      <c r="F8" s="18" t="n"/>
      <c r="G8" s="15" t="inlineStr">
        <is>
          <t>两种阻值都能跑，CAL 均为 2048：0.1Ω（本阶段）→ ±0.8192A / 25µA；10mΩ（备用）→ ±8.192A / 250µA。差别只在量程</t>
        </is>
      </c>
    </row>
    <row r="9">
      <c r="A9" s="14" t="n">
        <v>6</v>
      </c>
      <c r="B9" s="15" t="inlineStr">
        <is>
          <t>INA226 地址</t>
        </is>
      </c>
      <c r="C9" s="15" t="inlineStr">
        <is>
          <t>INA226 模块</t>
        </is>
      </c>
      <c r="D9" s="15" t="inlineStr">
        <is>
          <t>I²C 扫描出现 0x40（A1/A0 接地）</t>
        </is>
      </c>
      <c r="E9" s="14" t="inlineStr">
        <is>
          <t>未核验</t>
        </is>
      </c>
      <c r="F9" s="18" t="n"/>
      <c r="G9" s="15" t="inlineStr">
        <is>
          <t>扫描不到先查上拉电阻</t>
        </is>
      </c>
    </row>
    <row r="10">
      <c r="A10" s="14" t="n">
        <v>7</v>
      </c>
      <c r="B10" s="15" t="inlineStr">
        <is>
          <t>SS34 方向</t>
        </is>
      </c>
      <c r="C10" s="15" t="inlineStr">
        <is>
          <t>SS34 肖特基</t>
        </is>
      </c>
      <c r="D10" s="15" t="inlineStr">
        <is>
          <t>导通方向为「Qi 模块 → 系统 5V」，反接则 USB 会倒灌</t>
        </is>
      </c>
      <c r="E10" s="14" t="inlineStr">
        <is>
          <t>未核验</t>
        </is>
      </c>
      <c r="F10" s="18" t="n"/>
      <c r="G10" s="15" t="inlineStr">
        <is>
          <t>万用表二极管档测：红笔在 Qi 侧应导通</t>
        </is>
      </c>
    </row>
    <row r="11">
      <c r="A11" s="14" t="n">
        <v>8</v>
      </c>
      <c r="B11" s="15" t="inlineStr">
        <is>
          <t>无线充空载输出</t>
        </is>
      </c>
      <c r="C11" s="15" t="inlineStr">
        <is>
          <t>Qi 接收模块</t>
        </is>
      </c>
      <c r="D11" s="15" t="inlineStr">
        <is>
          <t>TX 靠近 2~8mm 时，RX 输出 5V ±5%</t>
        </is>
      </c>
      <c r="E11" s="14" t="inlineStr">
        <is>
          <t>未核验</t>
        </is>
      </c>
      <c r="F11" s="18" t="n"/>
      <c r="G11" s="15" t="inlineStr">
        <is>
          <t>无输出先查线圈与 TX 是否握手成功</t>
        </is>
      </c>
    </row>
    <row r="12">
      <c r="A12" s="14" t="n">
        <v>9</v>
      </c>
      <c r="B12" s="15" t="inlineStr">
        <is>
          <t>无线充防倒灌</t>
        </is>
      </c>
      <c r="C12" s="15" t="inlineStr">
        <is>
          <t>Qi 模块 + SS34 + USB</t>
        </is>
      </c>
      <c r="D12" s="15" t="inlineStr">
        <is>
          <t>插上 USB 后，测 Qi 模块输出端无反向电流</t>
        </is>
      </c>
      <c r="E12" s="14" t="inlineStr">
        <is>
          <t>未核验</t>
        </is>
      </c>
      <c r="F12" s="18" t="n"/>
      <c r="G12" s="15" t="inlineStr">
        <is>
          <t>有反向电流说明 SS34 方向错或失效</t>
        </is>
      </c>
    </row>
    <row r="13">
      <c r="A13" s="14" t="n">
        <v>10</v>
      </c>
      <c r="B13" s="15" t="inlineStr">
        <is>
          <t>无线充带载能力</t>
        </is>
      </c>
      <c r="C13" s="15" t="inlineStr">
        <is>
          <t>Qi 接收模块</t>
        </is>
      </c>
      <c r="D13" s="15" t="inlineStr">
        <is>
          <t>系统全负载（含一次 WiFi 发射）时，系统 5V 跌落 &lt;100mV</t>
        </is>
      </c>
      <c r="E13" s="14" t="inlineStr">
        <is>
          <t>未核验</t>
        </is>
      </c>
      <c r="F13" s="18" t="n"/>
      <c r="G13" s="15" t="inlineStr">
        <is>
          <t>跌落大说明 Qi 模块 1A 不足以同时带 LDO 与 WiFi 峰值</t>
        </is>
      </c>
    </row>
    <row r="14">
      <c r="A14" s="14" t="n">
        <v>11</v>
      </c>
      <c r="B14" s="15" t="inlineStr">
        <is>
          <t>TF 卡座针脚数</t>
        </is>
      </c>
      <c r="C14" s="15" t="inlineStr">
        <is>
          <t>9P 自弹式转接板</t>
        </is>
      </c>
      <c r="D14" s="15" t="inlineStr">
        <is>
          <t>9P，含 D0~D3 四位数据线（非 6P SPI 版）</t>
        </is>
      </c>
      <c r="E14" s="14" t="inlineStr">
        <is>
          <t>未核验</t>
        </is>
      </c>
      <c r="F14" s="18" t="n"/>
      <c r="G14" s="15" t="inlineStr">
        <is>
          <t>6P 版会与传感器抢占 IO10-13</t>
        </is>
      </c>
    </row>
    <row r="15">
      <c r="A15" s="14" t="n">
        <v>12</v>
      </c>
      <c r="B15" s="15" t="inlineStr">
        <is>
          <t>传感器评估板脚位</t>
        </is>
      </c>
      <c r="C15" s="15" t="inlineStr">
        <is>
          <t>STEVAL-MKI208V1K</t>
        </is>
      </c>
      <c r="D15" s="15" t="inlineStr">
        <is>
          <t>按 ST Schematic PDF 网络名核对 VDD/GND/SPC/SDI/SDO/CS/INT1</t>
        </is>
      </c>
      <c r="E15" s="14" t="inlineStr">
        <is>
          <t>未核验</t>
        </is>
      </c>
      <c r="F15" s="18" t="n"/>
      <c r="G15" s="15" t="inlineStr">
        <is>
          <t>DIL24 脚位 ≠ 芯片 pin1~14，严禁按脚号猜</t>
        </is>
      </c>
    </row>
    <row r="16">
      <c r="A16" s="14" t="n">
        <v>13</v>
      </c>
      <c r="B16" s="15" t="inlineStr">
        <is>
          <t>传感器 WHO_AM_I</t>
        </is>
      </c>
      <c r="C16" s="15" t="inlineStr">
        <is>
          <t>STEVAL-MKI208V1K</t>
        </is>
      </c>
      <c r="D16" s="15" t="inlineStr">
        <is>
          <t>读寄存器 0x0F 返回 0x7B</t>
        </is>
      </c>
      <c r="E16" s="14" t="inlineStr">
        <is>
          <t>未核验</t>
        </is>
      </c>
      <c r="F16" s="18" t="n"/>
      <c r="G16" s="15" t="inlineStr">
        <is>
          <t>不符先查 SPI 接线与 CS 极性</t>
        </is>
      </c>
    </row>
    <row r="17">
      <c r="A17" s="14" t="n">
        <v>14</v>
      </c>
      <c r="B17" s="15" t="inlineStr">
        <is>
          <t>SPI 线序与长度</t>
        </is>
      </c>
      <c r="C17" s="15" t="inlineStr">
        <is>
          <t>杜邦线</t>
        </is>
      </c>
      <c r="D17" s="15" t="inlineStr">
        <is>
          <t>SPI 与 SD 线束均 &lt;15cm，不与时钟线长距离并行</t>
        </is>
      </c>
      <c r="E17" s="14" t="inlineStr">
        <is>
          <t>未核验</t>
        </is>
      </c>
      <c r="F17" s="18" t="n"/>
      <c r="G17" s="15" t="inlineStr">
        <is>
          <t>面包板走线是信号完整性的主要限制</t>
        </is>
      </c>
    </row>
    <row r="18">
      <c r="A18" s="14" t="n">
        <v>15</v>
      </c>
      <c r="B18" s="15" t="inlineStr">
        <is>
          <t>杜邦线与面包板接触</t>
        </is>
      </c>
      <c r="C18" s="15" t="inlineStr">
        <is>
          <t>面包板 / 杜邦线</t>
        </is>
      </c>
      <c r="D18" s="15" t="inlineStr">
        <is>
          <t>插好后轻拉不松脱；电源正负轨用独立跳线跨接</t>
        </is>
      </c>
      <c r="E18" s="14" t="inlineStr">
        <is>
          <t>未核验</t>
        </is>
      </c>
      <c r="F18" s="18" t="n"/>
      <c r="G18" s="15" t="inlineStr">
        <is>
          <t>接触电阻是面包板版最大的测量污染源</t>
        </is>
      </c>
    </row>
  </sheetData>
  <autoFilter ref="A3:G18"/>
  <mergeCells count="1">
    <mergeCell ref="A1:G1"/>
  </mergeCells>
  <conditionalFormatting sqref="E4:E18">
    <cfRule type="cellIs" priority="1" operator="equal" dxfId="0">
      <formula>"通过"</formula>
    </cfRule>
    <cfRule type="cellIs" priority="2" operator="equal" dxfId="6">
      <formula>"不通过"</formula>
    </cfRule>
    <cfRule type="cellIs" priority="3" operator="equal" dxfId="1">
      <formula>"待核验"</formula>
    </cfRule>
  </conditionalFormatting>
  <dataValidations count="1">
    <dataValidation sqref="E4:E18" showDropDown="0" showInputMessage="0" showErrorMessage="0" allowBlank="1" type="list">
      <formula1>"通过,不通过,待核验,未核验"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40" customWidth="1" min="4" max="4"/>
    <col width="46" customWidth="1" min="5" max="5"/>
    <col width="10" customWidth="1" min="6" max="6"/>
    <col width="36" customWidth="1" min="7" max="7"/>
  </cols>
  <sheetData>
    <row r="1" ht="26" customHeight="1">
      <c r="A1" s="1" t="inlineStr">
        <is>
          <t>分阶段到位计划 · 物料与里程碑对照（v3）</t>
        </is>
      </c>
    </row>
    <row r="3" ht="30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阶段目标</t>
        </is>
      </c>
      <c r="D3" s="4" t="inlineStr">
        <is>
          <t>本阶段所需物料</t>
        </is>
      </c>
      <c r="E3" s="4" t="inlineStr">
        <is>
          <t>通过判据（Gate）</t>
        </is>
      </c>
      <c r="F3" s="4" t="inlineStr">
        <is>
          <t>状态</t>
        </is>
      </c>
      <c r="G3" s="4" t="inlineStr">
        <is>
          <t>备注</t>
        </is>
      </c>
    </row>
    <row r="4">
      <c r="A4" s="14" t="n">
        <v>1</v>
      </c>
      <c r="B4" s="15" t="inlineStr">
        <is>
          <t>P0 准备</t>
        </is>
      </c>
      <c r="C4" s="15" t="inlineStr">
        <is>
          <t>物料与方法就位</t>
        </is>
      </c>
      <c r="D4" s="15" t="inlineStr">
        <is>
          <t>全部物料；万用表；烙铁</t>
        </is>
      </c>
      <c r="E4" s="15" t="inlineStr">
        <is>
          <t>逐项通过「参数核验清单」；排针焊好；原工程保持只读</t>
        </is>
      </c>
      <c r="F4" s="14" t="inlineStr">
        <is>
          <t>未开始</t>
        </is>
      </c>
      <c r="G4" s="15" t="inlineStr">
        <is>
          <t>先核验再上电，顺序不能反</t>
        </is>
      </c>
    </row>
    <row r="5">
      <c r="A5" s="14" t="n">
        <v>2</v>
      </c>
      <c r="B5" s="15" t="inlineStr">
        <is>
          <t>P1 供电</t>
        </is>
      </c>
      <c r="C5" s="15" t="inlineStr">
        <is>
          <t>3V3 与分轨验证</t>
        </is>
      </c>
      <c r="D5" s="15" t="inlineStr">
        <is>
          <t>开发板、杜邦线、磁珠、电容</t>
        </is>
      </c>
      <c r="E5" s="15" t="inlineStr">
        <is>
          <t>3V3 空载 3.18~3.45V；带载跌落 &lt;100mV；3V3_SENS 经磁珠分轨</t>
        </is>
      </c>
      <c r="F5" s="14" t="inlineStr">
        <is>
          <t>未开始</t>
        </is>
      </c>
      <c r="G5" s="15" t="inlineStr">
        <is>
          <t>用板载 3.3V，不接任何独立电源模块</t>
        </is>
      </c>
    </row>
    <row r="6">
      <c r="A6" s="14" t="n">
        <v>3</v>
      </c>
      <c r="B6" s="15" t="inlineStr">
        <is>
          <t>P2 主控</t>
        </is>
      </c>
      <c r="C6" s="15" t="inlineStr">
        <is>
          <t>M1 跑起来</t>
        </is>
      </c>
      <c r="D6" s="15" t="inlineStr">
        <is>
          <t>开发板、USB-C 数据线、按键、LED</t>
        </is>
      </c>
      <c r="E6" s="15" t="inlineStr">
        <is>
          <t>USB 出现串口；烧测试固件后 LED（IO2）受控闪烁</t>
        </is>
      </c>
      <c r="F6" s="14" t="inlineStr">
        <is>
          <t>未开始</t>
        </is>
      </c>
      <c r="G6" s="15" t="inlineStr">
        <is>
          <t>先用官方例程验证板子本身</t>
        </is>
      </c>
    </row>
    <row r="7">
      <c r="A7" s="14" t="n">
        <v>4</v>
      </c>
      <c r="B7" s="15" t="inlineStr">
        <is>
          <t>P3 采集</t>
        </is>
      </c>
      <c r="C7" s="15" t="inlineStr">
        <is>
          <t>M3 读得到</t>
        </is>
      </c>
      <c r="D7" s="15" t="inlineStr">
        <is>
          <t>STEVAL-MKI208V1K、杜邦线</t>
        </is>
      </c>
      <c r="E7" s="15" t="inlineStr">
        <is>
          <t>WHO_AM_I = 0x7B；静置 Z≈1g、X/Y≈0；敲击有响应</t>
        </is>
      </c>
      <c r="F7" s="14" t="inlineStr">
        <is>
          <t>未开始</t>
        </is>
      </c>
      <c r="G7" s="15" t="inlineStr">
        <is>
          <t>先记录传感器贴装方向</t>
        </is>
      </c>
    </row>
    <row r="8">
      <c r="A8" s="14" t="n">
        <v>5</v>
      </c>
      <c r="B8" s="15" t="inlineStr">
        <is>
          <t>P4 存储</t>
        </is>
      </c>
      <c r="C8" s="15" t="inlineStr">
        <is>
          <t>M4 存得下</t>
        </is>
      </c>
      <c r="D8" s="15" t="inlineStr">
        <is>
          <t>9P TF 卡座转接板、TF 卡</t>
        </is>
      </c>
      <c r="E8" s="15" t="inlineStr">
        <is>
          <t>挂载成功；写读回一致；连续写入压测零丢帧</t>
        </is>
      </c>
      <c r="F8" s="14" t="inlineStr">
        <is>
          <t>未开始</t>
        </is>
      </c>
      <c r="G8" s="15" t="inlineStr">
        <is>
          <t>先从 10MHz 起，稳定后再提频</t>
        </is>
      </c>
    </row>
    <row r="9">
      <c r="A9" s="14" t="n">
        <v>6</v>
      </c>
      <c r="B9" s="15" t="inlineStr">
        <is>
          <t>P5 联调</t>
        </is>
      </c>
      <c r="C9" s="15" t="inlineStr">
        <is>
          <t>端到端跑通</t>
        </is>
      </c>
      <c r="D9" s="15" t="inlineStr">
        <is>
          <t>（沿用上阶段）</t>
        </is>
      </c>
      <c r="E9" s="15" t="inlineStr">
        <is>
          <t>90s 采集文件在 PC 上解析出完整波形 + FFT 主频正确</t>
        </is>
      </c>
      <c r="F9" s="14" t="inlineStr">
        <is>
          <t>未开始</t>
        </is>
      </c>
      <c r="G9" s="15" t="inlineStr">
        <is>
          <t>建议先用 3.3/6.6kHz ODR 打通，再提频</t>
        </is>
      </c>
    </row>
    <row r="10">
      <c r="A10" s="14" t="n">
        <v>7</v>
      </c>
      <c r="B10" s="15" t="inlineStr">
        <is>
          <t>P6 电流</t>
        </is>
      </c>
      <c r="C10" s="15" t="inlineStr">
        <is>
          <t>M5 电流可测</t>
        </is>
      </c>
      <c r="D10" s="15" t="inlineStr">
        <is>
          <t>INA226 模块（自带 0.1Ω 分流，不拆换）；烙铁仅用于焊开发板排针</t>
        </is>
      </c>
      <c r="E10" s="15" t="inlineStr">
        <is>
          <t>I²C 扫到 0x40；电流读数与万用表偏差 &lt; 5%</t>
        </is>
      </c>
      <c r="F10" s="14" t="inlineStr">
        <is>
          <t>未开始</t>
        </is>
      </c>
      <c r="G10" s="15" t="inlineStr">
        <is>
          <t>不改硬件：模块到手先记录分流丝印 → I²C 扫 0x40 → 与万用表串联比对（&lt;5%）</t>
        </is>
      </c>
    </row>
    <row r="11">
      <c r="A11" s="14" t="n">
        <v>8</v>
      </c>
      <c r="B11" s="15" t="inlineStr">
        <is>
          <t>P7 无线充</t>
        </is>
      </c>
      <c r="C11" s="15" t="inlineStr">
        <is>
          <t>无线充给系统供电</t>
        </is>
      </c>
      <c r="D11" s="15" t="inlineStr">
        <is>
          <t>Qi 接收模块、发射模块、SS34</t>
        </is>
      </c>
      <c r="E11" s="15" t="inlineStr">
        <is>
          <t>TX 靠近 2~8mm → RX 输出 5V → 系统正常启动；插 USB 无倒灌</t>
        </is>
      </c>
      <c r="F11" s="14" t="inlineStr">
        <is>
          <t>未开始</t>
        </is>
      </c>
      <c r="G11" s="15" t="inlineStr">
        <is>
          <t>SS34 方向是本阶段唯一易错点</t>
        </is>
      </c>
    </row>
    <row r="12">
      <c r="A12" s="14" t="n">
        <v>9</v>
      </c>
      <c r="B12" s="15" t="inlineStr">
        <is>
          <t>P8 电池（推后）</t>
        </is>
      </c>
      <c r="C12" s="15" t="inlineStr">
        <is>
          <t>无线充 → 充电 → 电池</t>
        </is>
      </c>
      <c r="D12" s="15" t="inlineStr">
        <is>
          <t>TP4056 模块、锂电池、PH2.0（本期未采购）</t>
        </is>
      </c>
      <c r="E12" s="15" t="inlineStr">
        <is>
          <t>无线充可为电池充电；CHRG_N / CHRG_DONE 状态正确</t>
        </is>
      </c>
      <c r="F12" s="14" t="inlineStr">
        <is>
          <t>未开始</t>
        </is>
      </c>
      <c r="G12" s="15" t="inlineStr">
        <is>
          <t>必须等 P7 通过后再做，两者共用同一套 5V 逻辑</t>
        </is>
      </c>
    </row>
    <row r="13">
      <c r="A13" s="14" t="n">
        <v>10</v>
      </c>
      <c r="B13" s="15" t="inlineStr">
        <is>
          <t>P9 固化</t>
        </is>
      </c>
      <c r="C13" s="15" t="inlineStr">
        <is>
          <t>迁移到洞洞板</t>
        </is>
      </c>
      <c r="D13" s="15" t="inlineStr">
        <is>
          <t>洞洞板</t>
        </is>
      </c>
      <c r="E13" s="15" t="inlineStr">
        <is>
          <t>固化版复现面包板版的全部 MVP 判据</t>
        </is>
      </c>
      <c r="F13" s="14" t="inlineStr">
        <is>
          <t>未开始</t>
        </is>
      </c>
      <c r="G13" s="15" t="inlineStr">
        <is>
          <t>面包板验证通过后再动</t>
        </is>
      </c>
    </row>
  </sheetData>
  <autoFilter ref="A3:G13"/>
  <mergeCells count="1">
    <mergeCell ref="A1:G1"/>
  </mergeCells>
  <conditionalFormatting sqref="F4:F13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6">
      <formula>"卡住"</formula>
    </cfRule>
  </conditionalFormatting>
  <dataValidations count="1">
    <dataValidation sqref="F4:F13" showDropDown="0" showInputMessage="0" showErrorMessage="0" allowBlank="1" type="list">
      <formula1>"未开始,进行中,已完成,卡住"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64" customWidth="1" min="4" max="4"/>
    <col width="36" customWidth="1" min="5" max="5"/>
    <col width="13" customWidth="1" min="6" max="6"/>
  </cols>
  <sheetData>
    <row r="1" ht="26" customHeight="1">
      <c r="A1" s="1" t="inlineStr">
        <is>
          <t>数据来源与关键口径（2026-09-18 站内 / 页面实测核实）</t>
        </is>
      </c>
    </row>
    <row r="3" ht="30" customHeight="1">
      <c r="A3" s="4" t="inlineStr">
        <is>
          <t>序号</t>
        </is>
      </c>
      <c r="B3" s="4" t="inlineStr">
        <is>
          <t>类别</t>
        </is>
      </c>
      <c r="C3" s="4" t="inlineStr">
        <is>
          <t>项目</t>
        </is>
      </c>
      <c r="D3" s="4" t="inlineStr">
        <is>
          <t>内容 / 结论</t>
        </is>
      </c>
      <c r="E3" s="4" t="inlineStr">
        <is>
          <t>来源</t>
        </is>
      </c>
      <c r="F3" s="4" t="inlineStr">
        <is>
          <t>核实日期</t>
        </is>
      </c>
    </row>
    <row r="4">
      <c r="A4" s="14" t="n">
        <v>1</v>
      </c>
      <c r="B4" s="14" t="inlineStr">
        <is>
          <t>立创在售</t>
        </is>
      </c>
      <c r="C4" s="15" t="inlineStr">
        <is>
          <t>立创·ESP32S3R8N8 开发板</t>
        </is>
      </c>
      <c r="D4" s="15" t="inlineStr">
        <is>
          <t>C20626143，活动价 ¥15.90（原价 ¥30.52）；DIP-40 / 2.54mm；赠 1x20P 排针</t>
        </is>
      </c>
      <c r="E4" s="15" t="inlineStr">
        <is>
          <t>立创商城 item.szlcsc.com/22034693.html</t>
        </is>
      </c>
      <c r="F4" s="14" t="inlineStr">
        <is>
          <t>2026-09-18</t>
        </is>
      </c>
    </row>
    <row r="5">
      <c r="A5" s="14" t="n">
        <v>2</v>
      </c>
      <c r="B5" s="14" t="inlineStr">
        <is>
          <t>立创在售</t>
        </is>
      </c>
      <c r="C5" s="15" t="inlineStr">
        <is>
          <t>ESP32S3R8N8 引脚与电源</t>
        </is>
      </c>
      <c r="D5" s="15" t="inlineStr">
        <is>
          <t>引出 G0~G18、G21、G38~G48、RST、BOOT 及 3.3V×3 / 5V×3 / GND×4；板载 LDO 为 ME6217C33M5G（南京微盟 SOT-23-5）</t>
        </is>
      </c>
      <c r="E5" s="15" t="inlineStr">
        <is>
          <t>嘉立创EDA 库 lceda.cn + 立创开源 oshwhub 该板 BOM</t>
        </is>
      </c>
      <c r="F5" s="14" t="inlineStr">
        <is>
          <t>2026-09-18</t>
        </is>
      </c>
    </row>
    <row r="6">
      <c r="A6" s="14" t="n">
        <v>3</v>
      </c>
      <c r="B6" s="14" t="inlineStr">
        <is>
          <t>立创在售</t>
        </is>
      </c>
      <c r="C6" s="15" t="inlineStr">
        <is>
          <t>INA226AIDGSR 芯片</t>
        </is>
      </c>
      <c r="D6" s="15" t="inlineStr">
        <is>
          <t>C49851，VSSOP-10，1+ ¥4.75 / 100+ ¥2.94，现货 45646（本版未采用，改走模块）</t>
        </is>
      </c>
      <c r="E6" s="15" t="inlineStr">
        <is>
          <t>立创商城</t>
        </is>
      </c>
      <c r="F6" s="14" t="inlineStr">
        <is>
          <t>2026-09-18</t>
        </is>
      </c>
    </row>
    <row r="7">
      <c r="A7" s="14" t="n">
        <v>4</v>
      </c>
      <c r="B7" s="14" t="inlineStr">
        <is>
          <t>立创在售</t>
        </is>
      </c>
      <c r="C7" s="15" t="inlineStr">
        <is>
          <t>10mΩ 采样电阻（备用件，本阶段不换）</t>
        </is>
      </c>
      <c r="D7" s="15" t="inlineStr">
        <is>
          <t>HoLRM2512-2W-10mR-1%（C2985675）：10mΩ ±1%，2W，±50ppm/℃，额定 14.14A。2026-09-21 起列为备用件——本阶段沿用 INA226 模块自带的 0.1Ω，不拆换</t>
        </is>
      </c>
      <c r="E7" s="15" t="inlineStr">
        <is>
          <t>立创商城</t>
        </is>
      </c>
      <c r="F7" s="14" t="inlineStr">
        <is>
          <t>2026-09-18</t>
        </is>
      </c>
    </row>
    <row r="8">
      <c r="A8" s="14" t="n">
        <v>5</v>
      </c>
      <c r="B8" s="14" t="inlineStr">
        <is>
          <t>立创在售</t>
        </is>
      </c>
      <c r="C8" s="15" t="inlineStr">
        <is>
          <t>杜邦线</t>
        </is>
      </c>
      <c r="D8" s="15" t="inlineStr">
        <is>
          <t>立创·超软硅胶杜邦线 24AWG 10P，LCKFB-JUMP-WIRES-10P，活动价 ¥1.00（原价 ¥4.90）</t>
        </is>
      </c>
      <c r="E8" s="15" t="inlineStr">
        <is>
          <t>立创商城活动页</t>
        </is>
      </c>
      <c r="F8" s="14" t="inlineStr">
        <is>
          <t>2026-09-18</t>
        </is>
      </c>
    </row>
    <row r="9">
      <c r="A9" s="14" t="n">
        <v>6</v>
      </c>
      <c r="B9" s="14" t="inlineStr">
        <is>
          <t>立创在售</t>
        </is>
      </c>
      <c r="C9" s="15" t="inlineStr">
        <is>
          <t>无线充芯片（未采用）</t>
        </is>
      </c>
      <c r="D9" s="15" t="inlineStr">
        <is>
          <t>BQ51013AYFPR（C2156137，DSBGA-28，¥18.45，输出 5V/1.5A）；BQ51013BRHLR（C55663，VQFN-20，¥24.85）；BQ51013BRHLT（C2650154，¥42.79）；STWLC68JRH（C1857516，WLCSP-72，¥40.08）——全部为小间距封装，无成品模块</t>
        </is>
      </c>
      <c r="E9" s="15" t="inlineStr">
        <is>
          <t>立创商城「无线充放电芯片」类目</t>
        </is>
      </c>
      <c r="F9" s="14" t="inlineStr">
        <is>
          <t>2026-09-18</t>
        </is>
      </c>
    </row>
    <row r="10">
      <c r="A10" s="14" t="n">
        <v>7</v>
      </c>
      <c r="B10" s="14" t="inlineStr">
        <is>
          <t>立创无货</t>
        </is>
      </c>
      <c r="C10" s="15" t="inlineStr">
        <is>
          <t>DC-DC 电源模块类目</t>
        </is>
      </c>
      <c r="D10" s="15" t="inlineStr">
        <is>
          <t>站内该品类全为插件工业模块并输入 6.5~36V（易川 K7805-1000R3 ¥8.35 / 8~36V；金升阳 K7805-500R3 ¥9.41 / 6.5~36V；MPS、TI 的 MPM/TPS82 系列为降压型），无一可接单节锂电 3.0~4.2V</t>
        </is>
      </c>
      <c r="E10" s="15" t="inlineStr">
        <is>
          <t>立创商城站内搜索「降压模块」</t>
        </is>
      </c>
      <c r="F10" s="14" t="inlineStr">
        <is>
          <t>2026-09-18</t>
        </is>
      </c>
    </row>
    <row r="11">
      <c r="A11" s="14" t="n">
        <v>8</v>
      </c>
      <c r="B11" s="14" t="inlineStr">
        <is>
          <t>立创无货</t>
        </is>
      </c>
      <c r="C11" s="15" t="inlineStr">
        <is>
          <t>TF 卡座连接器</t>
        </is>
      </c>
      <c r="D11" s="15" t="inlineStr">
        <is>
          <t>仅有 TF-01 等贴片卡座（约 ¥0.3），无即插面包板的转接板</t>
        </is>
      </c>
      <c r="E11" s="15" t="inlineStr">
        <is>
          <t>立创商城 item.szlcsc.com/3111797.html</t>
        </is>
      </c>
      <c r="F11" s="14" t="inlineStr">
        <is>
          <t>2026-09-18</t>
        </is>
      </c>
    </row>
    <row r="12">
      <c r="A12" s="14" t="n">
        <v>9</v>
      </c>
      <c r="B12" s="14" t="inlineStr">
        <is>
          <t>立创无货</t>
        </is>
      </c>
      <c r="C12" s="15" t="inlineStr">
        <is>
          <t>STEVAL-MKI208V1K</t>
        </is>
      </c>
      <c r="D12" s="15" t="inlineStr">
        <is>
          <t>站内无此评估板</t>
        </is>
      </c>
      <c r="E12" s="15" t="inlineStr">
        <is>
          <t>立创商城站内检索</t>
        </is>
      </c>
      <c r="F12" s="14" t="inlineStr">
        <is>
          <t>2026-09-18</t>
        </is>
      </c>
    </row>
    <row r="13">
      <c r="A13" s="14" t="n">
        <v>10</v>
      </c>
      <c r="B13" s="14" t="inlineStr">
        <is>
          <t>其他渠道</t>
        </is>
      </c>
      <c r="C13" s="15" t="inlineStr">
        <is>
          <t>STEVAL-MKI208V1K</t>
        </is>
      </c>
      <c r="D13" s="15" t="inlineStr">
        <is>
          <t>贸泽 ¥270.73（含税，库存 218，可立即发货）；e络盟 ¥261.62（库存 20，英国仓）；ST 官网预算价 US$31.0/片并可申请样片；全球分销库存 Farnell 108 / Anglia 90 / Mouser 157 / DigiKey 244</t>
        </is>
      </c>
      <c r="E13" s="15" t="inlineStr">
        <is>
          <t>贸泽 / e络盟 / ST 官网</t>
        </is>
      </c>
      <c r="F13" s="14" t="inlineStr">
        <is>
          <t>2026-09-18</t>
        </is>
      </c>
    </row>
    <row r="14">
      <c r="A14" s="14" t="n">
        <v>11</v>
      </c>
      <c r="B14" s="14" t="inlineStr">
        <is>
          <t>其他渠道</t>
        </is>
      </c>
      <c r="C14" s="15" t="inlineStr">
        <is>
          <t>INA226 成品模块</t>
        </is>
      </c>
      <c r="D14" s="15" t="inlineStr">
        <is>
          <t>通用模块 ¥9.9~15（天猫/淘宝）；带排针焊接版 ¥25~35。本版采用，沿用自带 R100（0.1Ω），不拆换（2026-09-21）</t>
        </is>
      </c>
      <c r="E14" s="15" t="inlineStr">
        <is>
          <t>天猫 / 淘宝在售页</t>
        </is>
      </c>
      <c r="F14" s="14" t="inlineStr">
        <is>
          <t>2026-09-18</t>
        </is>
      </c>
    </row>
    <row r="15">
      <c r="A15" s="14" t="n">
        <v>12</v>
      </c>
      <c r="B15" s="14" t="inlineStr">
        <is>
          <t>其他渠道</t>
        </is>
      </c>
      <c r="C15" s="15" t="inlineStr">
        <is>
          <t>Qi 无线充模块</t>
        </is>
      </c>
      <c r="D15" s="15" t="inlineStr">
        <is>
          <t>5W 接收模块（含线圈）约 ¥15（批发渠道 ¥16.9）；5W 发射模块约 ¥20；买「发射+接收」套装通常更便宜。另有 ICStation GY19745 5V/5W 接收模块 $4.19</t>
        </is>
      </c>
      <c r="E15" s="15" t="inlineStr">
        <is>
          <t>淘宝 / 1688 在售页</t>
        </is>
      </c>
      <c r="F15" s="14" t="inlineStr">
        <is>
          <t>2026-09-18</t>
        </is>
      </c>
    </row>
    <row r="16">
      <c r="A16" s="14" t="n">
        <v>13</v>
      </c>
      <c r="B16" s="14" t="inlineStr">
        <is>
          <t>其他渠道</t>
        </is>
      </c>
      <c r="C16" s="15" t="inlineStr">
        <is>
          <t>9P TF 卡座转接板</t>
        </is>
      </c>
      <c r="D16" s="15" t="inlineStr">
        <is>
          <t>9P 自弹式 1.6mm 加厚板，空板 ¥7.48，焊好座子约 ¥10（直针款适合面包板）</t>
        </is>
      </c>
      <c r="E16" s="15" t="inlineStr">
        <is>
          <t>淘宝在售页</t>
        </is>
      </c>
      <c r="F16" s="14" t="inlineStr">
        <is>
          <t>2026-09-18</t>
        </is>
      </c>
    </row>
    <row r="17">
      <c r="A17" s="14" t="n">
        <v>14</v>
      </c>
      <c r="B17" s="14" t="inlineStr">
        <is>
          <t>原设计对照</t>
        </is>
      </c>
      <c r="C17" s="15" t="inlineStr">
        <is>
          <t>无线充链路</t>
        </is>
      </c>
      <c r="D17" s="15" t="inlineStr">
        <is>
          <t>原设计：线圈 J8 → IP6831（QFN-16）整流 → pin8 输出并入 5V_VIN；USB VBUS 经 D1(SS34) 进 5V_VIN，两者形成 OR。本版用 Qi 模块 + 外置 SS34 等效复现</t>
        </is>
      </c>
      <c r="E17" s="15" t="inlineStr">
        <is>
          <t>原工程网表 20260917-201429</t>
        </is>
      </c>
      <c r="F17" s="14" t="inlineStr">
        <is>
          <t>2026-09-18</t>
        </is>
      </c>
    </row>
    <row r="18">
      <c r="A18" s="14" t="n">
        <v>15</v>
      </c>
      <c r="B18" s="14" t="inlineStr">
        <is>
          <t>技术规格</t>
        </is>
      </c>
      <c r="C18" s="15" t="inlineStr">
        <is>
          <t>IIS3DWB</t>
        </is>
      </c>
      <c r="D18" s="15" t="inlineStr">
        <is>
          <t>±2/4/8/16g；带宽 DC~6kHz（±3dB）；ODR 26.7kHz；噪声 75µg/√Hz（三轴）；FIFO 3KB；1.1mA；2.1~3.6V；LGA-14</t>
        </is>
      </c>
      <c r="E18" s="15" t="inlineStr">
        <is>
          <t>ST 官网 + DS12569</t>
        </is>
      </c>
      <c r="F18" s="14" t="inlineStr">
        <is>
          <t>2026-09-18</t>
        </is>
      </c>
    </row>
    <row r="19">
      <c r="A19" s="14" t="n">
        <v>16</v>
      </c>
      <c r="B19" s="14" t="inlineStr">
        <is>
          <t>技术规格</t>
        </is>
      </c>
      <c r="C19" s="15" t="inlineStr">
        <is>
          <t>INA226</t>
        </is>
      </c>
      <c r="D19" s="15" t="inlineStr">
        <is>
          <t>分流输入 ±81.92mV、LSB 2.5µV；总线 0~36V、LSB 1.25mV；16 位；转换 140µs~8.24ms 可配；2.7~5.5V</t>
        </is>
      </c>
      <c r="E19" s="15" t="inlineStr">
        <is>
          <t>TI DS SBOS547</t>
        </is>
      </c>
      <c r="F19" s="14" t="inlineStr">
        <is>
          <t>2026-09-18</t>
        </is>
      </c>
    </row>
    <row r="20">
      <c r="A20" s="14" t="n">
        <v>17</v>
      </c>
      <c r="B20" s="14" t="inlineStr">
        <is>
          <t>关键口径</t>
        </is>
      </c>
      <c r="C20" s="15" t="inlineStr">
        <is>
          <t>电流量程换算</t>
        </is>
      </c>
      <c r="D20" s="15" t="inlineStr">
        <is>
          <t>0.1Ω 分流（本阶段采用）→ 量程 ±0.8192A、分辨率 25µA；10mΩ 分流（原设计 / 备用）→ 量程 ±8.192A、分辨率 0.25mA。两者 CAL 均为 2048（与阻值无关）</t>
        </is>
      </c>
      <c r="E20" s="15" t="inlineStr">
        <is>
          <t>按 INA226 规格换算</t>
        </is>
      </c>
      <c r="F20" s="14" t="inlineStr">
        <is>
          <t>2026-09-18</t>
        </is>
      </c>
    </row>
    <row r="21">
      <c r="A21" s="14" t="n">
        <v>18</v>
      </c>
      <c r="B21" s="14" t="inlineStr">
        <is>
          <t>关键口径</t>
        </is>
      </c>
      <c r="C21" s="15" t="inlineStr">
        <is>
          <t>采集吞吐</t>
        </is>
      </c>
      <c r="D21" s="15" t="inlineStr">
        <is>
          <t>满速 26.7kHz × 6 字节 = 160KB/s；90s 约 14.4MB。容量无压力，瓶颈在 SPI 写卡速度</t>
        </is>
      </c>
      <c r="E21" s="15" t="inlineStr">
        <is>
          <t>按 IIS3DWB 规格推算</t>
        </is>
      </c>
      <c r="F21" s="14" t="inlineStr">
        <is>
          <t>2026-09-18</t>
        </is>
      </c>
    </row>
    <row r="22">
      <c r="A22" s="14" t="n">
        <v>19</v>
      </c>
      <c r="B22" s="14" t="inlineStr">
        <is>
          <t>关键口径</t>
        </is>
      </c>
      <c r="C22" s="15" t="inlineStr">
        <is>
          <t>无线充与电池的先后</t>
        </is>
      </c>
      <c r="D22" s="15" t="inlineStr">
        <is>
          <t>无线充最终是给电池充电用的；面包板阶段先只验证「无线充→系统供电」，充电联调必须等电池链路做出来后进行</t>
        </is>
      </c>
      <c r="E22" s="15" t="inlineStr">
        <is>
          <t>原设计 5V_VIN → LGS4056 充电链路</t>
        </is>
      </c>
      <c r="F22" s="14" t="inlineStr">
        <is>
          <t>2026-09-18</t>
        </is>
      </c>
    </row>
    <row r="23">
      <c r="A23" s="14" t="n">
        <v>20</v>
      </c>
      <c r="B23" s="14" t="inlineStr">
        <is>
          <t>免责说明</t>
        </is>
      </c>
      <c r="C23" s="15" t="inlineStr">
        <is>
          <t>价格时效</t>
        </is>
      </c>
      <c r="D23" s="15" t="inlineStr">
        <is>
          <t>均为公开渠道参考价，随行情 / 活动 / 库存浮动，下单前请复核</t>
        </is>
      </c>
      <c r="E23" s="15" t="inlineStr">
        <is>
          <t>—</t>
        </is>
      </c>
      <c r="F23" s="14" t="inlineStr">
        <is>
          <t>2026-09-18</t>
        </is>
      </c>
    </row>
    <row r="24">
      <c r="A24" s="14" t="n">
        <v>21</v>
      </c>
      <c r="B24" s="14" t="inlineStr">
        <is>
          <t>免责说明</t>
        </is>
      </c>
      <c r="C24" s="15" t="inlineStr">
        <is>
          <t>采购范围</t>
        </is>
      </c>
      <c r="D24" s="15" t="inlineStr">
        <is>
          <t>仅覆盖面包板验证阶段，不含正式 PCB 打样、SMT 贴片与结构件费用</t>
        </is>
      </c>
      <c r="E24" s="15" t="inlineStr">
        <is>
          <t>—</t>
        </is>
      </c>
      <c r="F24" s="14" t="inlineStr">
        <is>
          <t>2026-09-18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直插式面包板样机_C路线采购清单_嘉立创优先_v3</dc:title>
  <dcterms:created xsi:type="dcterms:W3CDTF">2026-09-18T09:06:15Z</dcterms:created>
  <dcterms:modified xsi:type="dcterms:W3CDTF">2026-09-21T02:36:54Z</dcterms:modified>
</cp:coreProperties>
</file>